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LUMN_GUIDE" sheetId="2" state="visible" r:id="rId2"/>
    <sheet xmlns:r="http://schemas.openxmlformats.org/officeDocument/2006/relationships" name="BUSINESS_PROMPT" sheetId="3" state="visible" r:id="rId3"/>
    <sheet xmlns:r="http://schemas.openxmlformats.org/officeDocument/2006/relationships" name="orders_fact" sheetId="4" state="visible" r:id="rId4"/>
    <sheet xmlns:r="http://schemas.openxmlformats.org/officeDocument/2006/relationships" name="sku_master" sheetId="5" state="visible" r:id="rId5"/>
    <sheet xmlns:r="http://schemas.openxmlformats.org/officeDocument/2006/relationships" name="supplier_offers" sheetId="6" state="visible" r:id="rId6"/>
    <sheet xmlns:r="http://schemas.openxmlformats.org/officeDocument/2006/relationships" name="sku_day_sales" sheetId="7" state="visible" r:id="rId7"/>
    <sheet xmlns:r="http://schemas.openxmlformats.org/officeDocument/2006/relationships" name="market_signals" sheetId="8" state="visible" r:id="rId8"/>
    <sheet xmlns:r="http://schemas.openxmlformats.org/officeDocument/2006/relationships" name="operations_signals" sheetId="9" state="visible" r:id="rId9"/>
    <sheet xmlns:r="http://schemas.openxmlformats.org/officeDocument/2006/relationships" name="pricing_features" sheetId="10" state="visible" r:id="rId10"/>
    <sheet xmlns:r="http://schemas.openxmlformats.org/officeDocument/2006/relationships" name="pricing_simulator" sheetId="11" state="visible" r:id="rId11"/>
    <sheet xmlns:r="http://schemas.openxmlformats.org/officeDocument/2006/relationships" name="ai_query_view" sheetId="12" state="visible" r:id="rId12"/>
  </sheets>
  <definedNames/>
  <calcPr calcId="124519" fullCalcOnLoad="1"/>
</workbook>
</file>

<file path=xl/styles.xml><?xml version="1.0" encoding="utf-8"?>
<styleSheet xmlns="http://schemas.openxmlformats.org/spreadsheetml/2006/main">
  <numFmts count="2">
    <numFmt numFmtId="164" formatCode="#,##0.000"/>
    <numFmt numFmtId="165" formatCode="0.000"/>
  </numFmts>
  <fonts count="24">
    <font>
      <name val="Calibri"/>
      <family val="2"/>
      <color theme="1"/>
      <sz val="11"/>
      <scheme val="minor"/>
    </font>
    <font>
      <name val="Arial"/>
      <b val="1"/>
      <color rgb="00F0EDE8"/>
      <sz val="18"/>
    </font>
    <font>
      <name val="Arial"/>
      <i val="1"/>
      <color rgb="007C786E"/>
      <sz val="11"/>
    </font>
    <font>
      <name val="Arial"/>
      <b val="1"/>
      <color rgb="00F0EDE8"/>
      <sz val="10"/>
    </font>
    <font>
      <name val="Arial"/>
      <b val="1"/>
      <color rgb="001A5C3A"/>
      <sz val="10"/>
    </font>
    <font>
      <name val="Arial"/>
      <color rgb="001C1A17"/>
      <sz val="10"/>
    </font>
    <font>
      <name val="Arial"/>
      <b val="1"/>
      <color rgb="00F0EDE8"/>
      <sz val="16"/>
    </font>
    <font>
      <name val="Arial"/>
      <i val="1"/>
      <color rgb="007C786E"/>
      <sz val="10"/>
    </font>
    <font>
      <name val="Arial"/>
      <b val="1"/>
      <color rgb="001A5C3A"/>
      <sz val="9"/>
    </font>
    <font>
      <name val="Arial"/>
      <b val="1"/>
      <color rgb="001C1A17"/>
      <sz val="10"/>
    </font>
    <font>
      <name val="Arial"/>
      <color rgb="001C1A17"/>
      <sz val="9"/>
    </font>
    <font>
      <name val="Courier New"/>
      <color rgb="001C1A17"/>
      <sz val="9"/>
    </font>
    <font>
      <name val="Arial"/>
      <color rgb="007C786E"/>
      <sz val="9"/>
    </font>
    <font>
      <name val="Arial"/>
      <color rgb="009E9A94"/>
      <sz val="9"/>
    </font>
    <font>
      <name val="Courier New"/>
      <color rgb="001A3A6B"/>
      <sz val="9"/>
    </font>
    <font>
      <name val="Arial"/>
      <b val="1"/>
      <color rgb="007C4A00"/>
      <sz val="10"/>
    </font>
    <font>
      <name val="Arial"/>
      <color rgb="007C4A00"/>
      <sz val="9"/>
    </font>
    <font>
      <name val="Arial"/>
      <i val="1"/>
      <color rgb="007C786E"/>
      <sz val="9"/>
    </font>
    <font>
      <name val="Arial"/>
      <b val="1"/>
      <color rgb="00F0EDE8"/>
      <sz val="14"/>
    </font>
    <font>
      <name val="Arial"/>
      <i val="1"/>
      <color rgb="007C4A00"/>
      <sz val="9"/>
    </font>
    <font>
      <name val="Courier New"/>
      <color rgb="001C1A17"/>
      <sz val="10"/>
    </font>
    <font>
      <name val="Courier New"/>
      <b val="1"/>
      <color rgb="001A5C3A"/>
      <sz val="10"/>
    </font>
    <font>
      <name val="Courier New"/>
      <b val="1"/>
      <color rgb="00A51818"/>
      <sz val="10"/>
    </font>
    <font>
      <name val="Courier New"/>
      <color rgb="007C4A00"/>
      <sz val="10"/>
    </font>
  </fonts>
  <fills count="10">
    <fill>
      <patternFill/>
    </fill>
    <fill>
      <patternFill patternType="gray125"/>
    </fill>
    <fill>
      <patternFill patternType="solid">
        <fgColor rgb="001C1A17"/>
      </patternFill>
    </fill>
    <fill>
      <patternFill patternType="solid">
        <fgColor rgb="00F0EDE8"/>
      </patternFill>
    </fill>
    <fill>
      <patternFill patternType="solid">
        <fgColor rgb="00FFFFFF"/>
      </patternFill>
    </fill>
    <fill>
      <patternFill patternType="solid">
        <fgColor rgb="00E8E4DD"/>
      </patternFill>
    </fill>
    <fill>
      <patternFill patternType="solid">
        <fgColor rgb="00FDF4E7"/>
      </patternFill>
    </fill>
    <fill>
      <patternFill patternType="solid">
        <fgColor rgb="00EFF4FF"/>
      </patternFill>
    </fill>
    <fill>
      <patternFill patternType="solid">
        <fgColor rgb="00EDF5F0"/>
      </patternFill>
    </fill>
    <fill>
      <patternFill patternType="solid">
        <fgColor rgb="00F0F5EA"/>
      </patternFill>
    </fill>
  </fills>
  <borders count="3">
    <border>
      <left/>
      <right/>
      <top/>
      <bottom/>
      <diagonal/>
    </border>
    <border>
      <left style="thin">
        <color rgb="00DDD9D2"/>
      </left>
      <right style="thin">
        <color rgb="00DDD9D2"/>
      </right>
      <top style="thin">
        <color rgb="00DDD9D2"/>
      </top>
      <bottom style="thin">
        <color rgb="00DDD9D2"/>
      </bottom>
    </border>
    <border>
      <left style="thin">
        <color rgb="00DDD9D2"/>
      </left>
      <right style="thin">
        <color rgb="00DDD9D2"/>
      </right>
      <top/>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left" vertical="center" indent="2"/>
    </xf>
    <xf numFmtId="0" fontId="2" fillId="3" borderId="0" applyAlignment="1" pivotButton="0" quotePrefix="0" xfId="0">
      <alignment horizontal="left" vertical="center" indent="2"/>
    </xf>
    <xf numFmtId="0" fontId="3" fillId="2" borderId="1" applyAlignment="1" pivotButton="0" quotePrefix="0" xfId="0">
      <alignment horizontal="center" vertical="center"/>
    </xf>
    <xf numFmtId="0" fontId="4" fillId="4" borderId="1" applyAlignment="1" pivotButton="0" quotePrefix="0" xfId="0">
      <alignment horizontal="left" vertical="center" indent="1"/>
    </xf>
    <xf numFmtId="0" fontId="5" fillId="3" borderId="1" applyAlignment="1" pivotButton="0" quotePrefix="0" xfId="0">
      <alignment horizontal="left" vertical="center" indent="1"/>
    </xf>
    <xf numFmtId="0" fontId="5" fillId="4" borderId="1" applyAlignment="1" pivotButton="0" quotePrefix="0" xfId="0">
      <alignment horizontal="left" vertical="center" indent="1"/>
    </xf>
    <xf numFmtId="0" fontId="5" fillId="4" borderId="1" applyAlignment="1" pivotButton="0" quotePrefix="0" xfId="0">
      <alignment horizontal="left" vertical="center" wrapText="1" indent="1"/>
    </xf>
    <xf numFmtId="0" fontId="4" fillId="3" borderId="1" applyAlignment="1" pivotButton="0" quotePrefix="0" xfId="0">
      <alignment horizontal="left" vertical="center" indent="1"/>
    </xf>
    <xf numFmtId="0" fontId="5" fillId="3" borderId="1" applyAlignment="1" pivotButton="0" quotePrefix="0" xfId="0">
      <alignment horizontal="left" vertical="center" wrapText="1" indent="1"/>
    </xf>
    <xf numFmtId="0" fontId="5" fillId="5" borderId="1" applyAlignment="1" pivotButton="0" quotePrefix="0" xfId="0">
      <alignment horizontal="left" vertical="center" indent="1"/>
    </xf>
    <xf numFmtId="0" fontId="5" fillId="6" borderId="1" applyAlignment="1" pivotButton="0" quotePrefix="0" xfId="0">
      <alignment horizontal="left" vertical="center" indent="1"/>
    </xf>
    <xf numFmtId="0" fontId="5" fillId="7" borderId="1" applyAlignment="1" pivotButton="0" quotePrefix="0" xfId="0">
      <alignment horizontal="left" vertical="center" indent="1"/>
    </xf>
    <xf numFmtId="0" fontId="5" fillId="8" borderId="1" applyAlignment="1" pivotButton="0" quotePrefix="0" xfId="0">
      <alignment horizontal="left" vertical="center" indent="1"/>
    </xf>
    <xf numFmtId="0" fontId="4" fillId="8" borderId="1" applyAlignment="1" pivotButton="0" quotePrefix="0" xfId="0">
      <alignment horizontal="left" vertical="center" indent="2"/>
    </xf>
    <xf numFmtId="0" fontId="5" fillId="4" borderId="2" applyAlignment="1" pivotButton="0" quotePrefix="0" xfId="0">
      <alignment horizontal="left" vertical="center" indent="2"/>
    </xf>
    <xf numFmtId="0" fontId="6" fillId="2" borderId="0" applyAlignment="1" pivotButton="0" quotePrefix="0" xfId="0">
      <alignment horizontal="left" vertical="center" indent="2"/>
    </xf>
    <xf numFmtId="0" fontId="7" fillId="3" borderId="0" applyAlignment="1" pivotButton="0" quotePrefix="0" xfId="0">
      <alignment horizontal="left" vertical="center" indent="2"/>
    </xf>
    <xf numFmtId="0" fontId="8" fillId="8" borderId="1" applyAlignment="1" pivotButton="0" quotePrefix="0" xfId="0">
      <alignment horizontal="left" vertical="top" indent="1"/>
    </xf>
    <xf numFmtId="0" fontId="9" fillId="4" borderId="1" applyAlignment="1" pivotButton="0" quotePrefix="0" xfId="0">
      <alignment horizontal="left" vertical="top" indent="1"/>
    </xf>
    <xf numFmtId="0" fontId="10" fillId="4" borderId="1" applyAlignment="1" pivotButton="0" quotePrefix="0" xfId="0">
      <alignment horizontal="left" vertical="top" indent="1"/>
    </xf>
    <xf numFmtId="0" fontId="10" fillId="3" borderId="1" applyAlignment="1" pivotButton="0" quotePrefix="0" xfId="0">
      <alignment horizontal="left" vertical="top" indent="1"/>
    </xf>
    <xf numFmtId="0" fontId="11" fillId="4" borderId="1" applyAlignment="1" pivotButton="0" quotePrefix="0" xfId="0">
      <alignment horizontal="left" vertical="top" wrapText="1" indent="1"/>
    </xf>
    <xf numFmtId="0" fontId="11" fillId="5" borderId="1" applyAlignment="1" pivotButton="0" quotePrefix="0" xfId="0">
      <alignment horizontal="left" vertical="top" indent="1"/>
    </xf>
    <xf numFmtId="0" fontId="8" fillId="8" borderId="1" applyAlignment="1" pivotButton="0" quotePrefix="0" xfId="0">
      <alignment horizontal="center" vertical="center"/>
    </xf>
    <xf numFmtId="0" fontId="12" fillId="4" borderId="1" applyAlignment="1" pivotButton="0" quotePrefix="0" xfId="0">
      <alignment horizontal="left" vertical="top" wrapText="1" indent="1"/>
    </xf>
    <xf numFmtId="0" fontId="13" fillId="3" borderId="1" applyAlignment="1" pivotButton="0" quotePrefix="0" xfId="0">
      <alignment horizontal="left" vertical="top" indent="1"/>
    </xf>
    <xf numFmtId="0" fontId="9" fillId="3" borderId="1" applyAlignment="1" pivotButton="0" quotePrefix="0" xfId="0">
      <alignment horizontal="left" vertical="top" indent="1"/>
    </xf>
    <xf numFmtId="0" fontId="11" fillId="3" borderId="1" applyAlignment="1" pivotButton="0" quotePrefix="0" xfId="0">
      <alignment horizontal="left" vertical="top" wrapText="1" indent="1"/>
    </xf>
    <xf numFmtId="0" fontId="12" fillId="3" borderId="1" applyAlignment="1" pivotButton="0" quotePrefix="0" xfId="0">
      <alignment horizontal="left" vertical="top" wrapText="1" indent="1"/>
    </xf>
    <xf numFmtId="0" fontId="13" fillId="4" borderId="1" applyAlignment="1" pivotButton="0" quotePrefix="0" xfId="0">
      <alignment horizontal="left" vertical="top" indent="1"/>
    </xf>
    <xf numFmtId="0" fontId="10" fillId="5" borderId="1" applyAlignment="1" pivotButton="0" quotePrefix="0" xfId="0">
      <alignment horizontal="left" vertical="top" indent="1"/>
    </xf>
    <xf numFmtId="0" fontId="14" fillId="7" borderId="1" applyAlignment="1" pivotButton="0" quotePrefix="0" xfId="0">
      <alignment horizontal="left" vertical="top" wrapText="1" indent="1"/>
    </xf>
    <xf numFmtId="0" fontId="13" fillId="3" borderId="1" applyAlignment="1" pivotButton="0" quotePrefix="0" xfId="0">
      <alignment horizontal="center" vertical="center"/>
    </xf>
    <xf numFmtId="0" fontId="10" fillId="6" borderId="1" applyAlignment="1" pivotButton="0" quotePrefix="0" xfId="0">
      <alignment horizontal="left" vertical="top" indent="1"/>
    </xf>
    <xf numFmtId="0" fontId="13" fillId="4" borderId="1" applyAlignment="1" pivotButton="0" quotePrefix="0" xfId="0">
      <alignment horizontal="center" vertical="center"/>
    </xf>
    <xf numFmtId="0" fontId="15" fillId="6" borderId="1" applyAlignment="1" pivotButton="0" quotePrefix="0" xfId="0">
      <alignment horizontal="left" vertical="top" indent="1"/>
    </xf>
    <xf numFmtId="0" fontId="16" fillId="4" borderId="1" applyAlignment="1" pivotButton="0" quotePrefix="0" xfId="0">
      <alignment horizontal="left" vertical="top" indent="1"/>
    </xf>
    <xf numFmtId="0" fontId="17" fillId="6" borderId="1" applyAlignment="1" pivotButton="0" quotePrefix="0" xfId="0">
      <alignment horizontal="left" vertical="top" wrapText="1" indent="1"/>
    </xf>
    <xf numFmtId="0" fontId="16" fillId="6" borderId="1" applyAlignment="1" pivotButton="0" quotePrefix="0" xfId="0">
      <alignment horizontal="left" vertical="top" indent="1"/>
    </xf>
    <xf numFmtId="0" fontId="16" fillId="3" borderId="1" applyAlignment="1" pivotButton="0" quotePrefix="0" xfId="0">
      <alignment horizontal="left" vertical="top" indent="1"/>
    </xf>
    <xf numFmtId="0" fontId="4" fillId="9" borderId="1" applyAlignment="1" pivotButton="0" quotePrefix="0" xfId="0">
      <alignment horizontal="left" vertical="top" indent="1"/>
    </xf>
    <xf numFmtId="0" fontId="8" fillId="9" borderId="1" applyAlignment="1" pivotButton="0" quotePrefix="0" xfId="0">
      <alignment horizontal="left" vertical="top" indent="1"/>
    </xf>
    <xf numFmtId="0" fontId="17" fillId="3" borderId="1" applyAlignment="1" pivotButton="0" quotePrefix="0" xfId="0">
      <alignment horizontal="left" vertical="top" wrapText="1" indent="1"/>
    </xf>
    <xf numFmtId="0" fontId="17" fillId="4" borderId="1" applyAlignment="1" pivotButton="0" quotePrefix="0" xfId="0">
      <alignment horizontal="left" vertical="top" wrapText="1" indent="1"/>
    </xf>
    <xf numFmtId="0" fontId="3" fillId="2" borderId="0" applyAlignment="1" pivotButton="0" quotePrefix="0" xfId="0">
      <alignment horizontal="left" vertical="center" indent="2"/>
    </xf>
    <xf numFmtId="0" fontId="10" fillId="9" borderId="2" applyAlignment="1" pivotButton="0" quotePrefix="0" xfId="0">
      <alignment horizontal="left" vertical="center" indent="2"/>
    </xf>
    <xf numFmtId="0" fontId="10" fillId="6" borderId="2" applyAlignment="1" pivotButton="0" quotePrefix="0" xfId="0">
      <alignment horizontal="left" vertical="center" indent="2"/>
    </xf>
    <xf numFmtId="0" fontId="10" fillId="7" borderId="2" applyAlignment="1" pivotButton="0" quotePrefix="0" xfId="0">
      <alignment horizontal="left" vertical="center" indent="2"/>
    </xf>
    <xf numFmtId="0" fontId="10" fillId="8" borderId="2" applyAlignment="1" pivotButton="0" quotePrefix="0" xfId="0">
      <alignment horizontal="left" vertical="center" indent="2"/>
    </xf>
    <xf numFmtId="0" fontId="18" fillId="2" borderId="0" applyAlignment="1" pivotButton="0" quotePrefix="0" xfId="0">
      <alignment horizontal="left" vertical="center" indent="2"/>
    </xf>
    <xf numFmtId="0" fontId="11" fillId="3" borderId="0" applyAlignment="1" pivotButton="0" quotePrefix="0" xfId="0">
      <alignment horizontal="left" vertical="top" wrapText="1" indent="1"/>
    </xf>
    <xf numFmtId="0" fontId="19" fillId="6" borderId="0" applyAlignment="1" pivotButton="0" quotePrefix="0" xfId="0">
      <alignment horizontal="left" vertical="center" indent="2"/>
    </xf>
    <xf numFmtId="0" fontId="4" fillId="9" borderId="1" applyAlignment="1" pivotButton="0" quotePrefix="0" xfId="0">
      <alignment horizontal="center" vertical="center"/>
    </xf>
    <xf numFmtId="3" fontId="20" fillId="4" borderId="1" applyAlignment="1" pivotButton="0" quotePrefix="0" xfId="0">
      <alignment horizontal="right" vertical="center" indent="1"/>
    </xf>
    <xf numFmtId="0" fontId="5" fillId="4" borderId="1" applyAlignment="1" pivotButton="0" quotePrefix="0" xfId="0">
      <alignment horizontal="left" vertical="center" indent="1"/>
    </xf>
    <xf numFmtId="4" fontId="20" fillId="4" borderId="1" applyAlignment="1" pivotButton="0" quotePrefix="0" xfId="0">
      <alignment horizontal="right" vertical="center" indent="1"/>
    </xf>
    <xf numFmtId="0" fontId="5" fillId="9" borderId="1" applyAlignment="1" pivotButton="0" quotePrefix="0" xfId="0">
      <alignment horizontal="left" vertical="center" indent="1"/>
    </xf>
    <xf numFmtId="3" fontId="20" fillId="9" borderId="1" applyAlignment="1" pivotButton="0" quotePrefix="0" xfId="0">
      <alignment horizontal="right" vertical="center" indent="1"/>
    </xf>
    <xf numFmtId="164" fontId="21" fillId="9" borderId="1" applyAlignment="1" pivotButton="0" quotePrefix="0" xfId="0">
      <alignment horizontal="right" vertical="center" indent="1"/>
    </xf>
    <xf numFmtId="3" fontId="20" fillId="3" borderId="1" applyAlignment="1" pivotButton="0" quotePrefix="0" xfId="0">
      <alignment horizontal="right" vertical="center" indent="1"/>
    </xf>
    <xf numFmtId="0" fontId="5" fillId="3" borderId="1" applyAlignment="1" pivotButton="0" quotePrefix="0" xfId="0">
      <alignment horizontal="left" vertical="center" indent="1"/>
    </xf>
    <xf numFmtId="4" fontId="20" fillId="3" borderId="1" applyAlignment="1" pivotButton="0" quotePrefix="0" xfId="0">
      <alignment horizontal="right" vertical="center" indent="1"/>
    </xf>
    <xf numFmtId="164" fontId="20" fillId="4" borderId="1" applyAlignment="1" pivotButton="0" quotePrefix="0" xfId="0">
      <alignment horizontal="right" vertical="center" indent="1"/>
    </xf>
    <xf numFmtId="165" fontId="20" fillId="4" borderId="1" applyAlignment="1" pivotButton="0" quotePrefix="0" xfId="0">
      <alignment horizontal="right" vertical="center" indent="1"/>
    </xf>
    <xf numFmtId="164" fontId="20" fillId="3" borderId="1" applyAlignment="1" pivotButton="0" quotePrefix="0" xfId="0">
      <alignment horizontal="right" vertical="center" indent="1"/>
    </xf>
    <xf numFmtId="165" fontId="20" fillId="3" borderId="1" applyAlignment="1" pivotButton="0" quotePrefix="0" xfId="0">
      <alignment horizontal="right" vertical="center" indent="1"/>
    </xf>
    <xf numFmtId="4" fontId="20" fillId="9" borderId="1" applyAlignment="1" pivotButton="0" quotePrefix="0" xfId="0">
      <alignment horizontal="right" vertical="center" indent="1"/>
    </xf>
    <xf numFmtId="164" fontId="22" fillId="9" borderId="1" applyAlignment="1" pivotButton="0" quotePrefix="0" xfId="0">
      <alignment horizontal="right" vertical="center" indent="1"/>
    </xf>
    <xf numFmtId="165" fontId="23" fillId="9" borderId="1" applyAlignment="1" pivotButton="0" quotePrefix="0" xfId="0">
      <alignment horizontal="right" vertical="center" indent="1"/>
    </xf>
    <xf numFmtId="0" fontId="4" fillId="8" borderId="0" applyAlignment="1" pivotButton="0" quotePrefix="0" xfId="0">
      <alignment horizontal="left" vertical="center"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1A17"/>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22" customWidth="1" min="1" max="1"/>
    <col width="18" customWidth="1" min="2" max="2"/>
    <col width="12" customWidth="1" min="3" max="3"/>
    <col width="16" customWidth="1" min="4" max="4"/>
    <col width="60" customWidth="1" min="5" max="5"/>
  </cols>
  <sheetData>
    <row r="1" ht="48" customHeight="1">
      <c r="A1" s="1" t="inlineStr">
        <is>
          <t>PriceIQ Workbench — Sample Workbook</t>
        </is>
      </c>
    </row>
    <row r="2" ht="28" customHeight="1">
      <c r="A2" s="2" t="inlineStr">
        <is>
          <t>Standard template for B2B digital voucher / gift card marketplace pricing analysis</t>
        </is>
      </c>
    </row>
    <row r="3" ht="12" customHeight="1"/>
    <row r="4">
      <c r="A4" s="3" t="inlineStr">
        <is>
          <t>Sheet Name</t>
        </is>
      </c>
      <c r="B4" s="3" t="inlineStr">
        <is>
          <t>Role</t>
        </is>
      </c>
      <c r="C4" s="3" t="inlineStr">
        <is>
          <t>Priority</t>
        </is>
      </c>
      <c r="D4" s="3" t="inlineStr">
        <is>
          <t>Rows (sample)</t>
        </is>
      </c>
      <c r="E4" s="3" t="inlineStr">
        <is>
          <t>Description</t>
        </is>
      </c>
    </row>
    <row r="5" ht="22" customHeight="1">
      <c r="A5" s="4" t="inlineStr">
        <is>
          <t>README</t>
        </is>
      </c>
      <c r="B5" s="5" t="inlineStr">
        <is>
          <t>Reference</t>
        </is>
      </c>
      <c r="C5" s="6" t="inlineStr">
        <is>
          <t>—</t>
        </is>
      </c>
      <c r="D5" s="6" t="inlineStr">
        <is>
          <t>—</t>
        </is>
      </c>
      <c r="E5" s="7" t="inlineStr">
        <is>
          <t>This sheet. Workbook overview and navigation guide.</t>
        </is>
      </c>
    </row>
    <row r="6" ht="22" customHeight="1">
      <c r="A6" s="8" t="inlineStr">
        <is>
          <t>COLUMN_GUIDE</t>
        </is>
      </c>
      <c r="B6" s="5" t="inlineStr">
        <is>
          <t>Reference</t>
        </is>
      </c>
      <c r="C6" s="5" t="inlineStr">
        <is>
          <t>★★★★★</t>
        </is>
      </c>
      <c r="D6" s="5" t="inlineStr">
        <is>
          <t>—</t>
        </is>
      </c>
      <c r="E6" s="9" t="inlineStr">
        <is>
          <t>Master column dictionary — every field explained with formula, type, and example.</t>
        </is>
      </c>
    </row>
    <row r="7" ht="22" customHeight="1">
      <c r="A7" s="4" t="inlineStr">
        <is>
          <t>BUSINESS_PROMPT</t>
        </is>
      </c>
      <c r="B7" s="5" t="inlineStr">
        <is>
          <t>Reference</t>
        </is>
      </c>
      <c r="C7" s="6" t="inlineStr">
        <is>
          <t>★★★★</t>
        </is>
      </c>
      <c r="D7" s="6" t="inlineStr">
        <is>
          <t>—</t>
        </is>
      </c>
      <c r="E7" s="7" t="inlineStr">
        <is>
          <t>Default AI system prompt. PriceIQ reads this to understand your business context.</t>
        </is>
      </c>
    </row>
    <row r="8" ht="22" customHeight="1">
      <c r="A8" s="8" t="inlineStr">
        <is>
          <t>orders_fact</t>
        </is>
      </c>
      <c r="B8" s="10" t="inlineStr">
        <is>
          <t>Raw Data</t>
        </is>
      </c>
      <c r="C8" s="5" t="inlineStr">
        <is>
          <t>★★★</t>
        </is>
      </c>
      <c r="D8" s="5" t="inlineStr">
        <is>
          <t>20</t>
        </is>
      </c>
      <c r="E8" s="9" t="inlineStr">
        <is>
          <t>Transaction-level order history. Most granular data layer.</t>
        </is>
      </c>
    </row>
    <row r="9" ht="22" customHeight="1">
      <c r="A9" s="4" t="inlineStr">
        <is>
          <t>sku_master</t>
        </is>
      </c>
      <c r="B9" s="5" t="inlineStr">
        <is>
          <t>Reference</t>
        </is>
      </c>
      <c r="C9" s="6" t="inlineStr">
        <is>
          <t>★★★</t>
        </is>
      </c>
      <c r="D9" s="6" t="inlineStr">
        <is>
          <t>10</t>
        </is>
      </c>
      <c r="E9" s="7" t="inlineStr">
        <is>
          <t>Product catalog. Stable SKU metadata.</t>
        </is>
      </c>
    </row>
    <row r="10" ht="22" customHeight="1">
      <c r="A10" s="8" t="inlineStr">
        <is>
          <t>supplier_offers</t>
        </is>
      </c>
      <c r="B10" s="10" t="inlineStr">
        <is>
          <t>Raw Data</t>
        </is>
      </c>
      <c r="C10" s="5" t="inlineStr">
        <is>
          <t>★★★★</t>
        </is>
      </c>
      <c r="D10" s="5" t="inlineStr">
        <is>
          <t>10</t>
        </is>
      </c>
      <c r="E10" s="9" t="inlineStr">
        <is>
          <t>Supplier economics per SKU: cost, fee, reliability.</t>
        </is>
      </c>
    </row>
    <row r="11" ht="22" customHeight="1">
      <c r="A11" s="4" t="inlineStr">
        <is>
          <t>sku_day_sales</t>
        </is>
      </c>
      <c r="B11" s="10" t="inlineStr">
        <is>
          <t>Aggregated</t>
        </is>
      </c>
      <c r="C11" s="6" t="inlineStr">
        <is>
          <t>★★★</t>
        </is>
      </c>
      <c r="D11" s="6" t="inlineStr">
        <is>
          <t>15</t>
        </is>
      </c>
      <c r="E11" s="7" t="inlineStr">
        <is>
          <t>Daily demand aggregation per SKU.</t>
        </is>
      </c>
    </row>
    <row r="12" ht="22" customHeight="1">
      <c r="A12" s="8" t="inlineStr">
        <is>
          <t>market_signals</t>
        </is>
      </c>
      <c r="B12" s="11" t="inlineStr">
        <is>
          <t>Enriched</t>
        </is>
      </c>
      <c r="C12" s="5" t="inlineStr">
        <is>
          <t>★★★★</t>
        </is>
      </c>
      <c r="D12" s="5" t="inlineStr">
        <is>
          <t>10</t>
        </is>
      </c>
      <c r="E12" s="9" t="inlineStr">
        <is>
          <t>Market intelligence: competitor prices, sensitivity, seasonality.</t>
        </is>
      </c>
    </row>
    <row r="13" ht="22" customHeight="1">
      <c r="A13" s="4" t="inlineStr">
        <is>
          <t>operations_signals</t>
        </is>
      </c>
      <c r="B13" s="11" t="inlineStr">
        <is>
          <t>Enriched</t>
        </is>
      </c>
      <c r="C13" s="6" t="inlineStr">
        <is>
          <t>★★★★</t>
        </is>
      </c>
      <c r="D13" s="6" t="inlineStr">
        <is>
          <t>10</t>
        </is>
      </c>
      <c r="E13" s="7" t="inlineStr">
        <is>
          <t>Operational risk signals: refund rates, support costs.</t>
        </is>
      </c>
    </row>
    <row r="14" ht="22" customHeight="1">
      <c r="A14" s="8" t="inlineStr">
        <is>
          <t>pricing_features</t>
        </is>
      </c>
      <c r="B14" s="12" t="inlineStr">
        <is>
          <t>Derived</t>
        </is>
      </c>
      <c r="C14" s="5" t="inlineStr">
        <is>
          <t>★★★★★</t>
        </is>
      </c>
      <c r="D14" s="5" t="inlineStr">
        <is>
          <t>10</t>
        </is>
      </c>
      <c r="E14" s="9" t="inlineStr">
        <is>
          <t>Core pricing metrics table. Joins cost + margin + market data.</t>
        </is>
      </c>
    </row>
    <row r="15" ht="22" customHeight="1">
      <c r="A15" s="4" t="inlineStr">
        <is>
          <t>pricing_simulator</t>
        </is>
      </c>
      <c r="B15" s="12" t="inlineStr">
        <is>
          <t>Derived</t>
        </is>
      </c>
      <c r="C15" s="6" t="inlineStr">
        <is>
          <t>★★★★★</t>
        </is>
      </c>
      <c r="D15" s="6" t="inlineStr">
        <is>
          <t>10</t>
        </is>
      </c>
      <c r="E15" s="7" t="inlineStr">
        <is>
          <t>What-if scenario engine. Price change impact simulation.</t>
        </is>
      </c>
    </row>
    <row r="16" ht="22" customHeight="1">
      <c r="A16" s="8" t="inlineStr">
        <is>
          <t>ai_query_view</t>
        </is>
      </c>
      <c r="B16" s="13" t="inlineStr">
        <is>
          <t>AI Primary</t>
        </is>
      </c>
      <c r="C16" s="5" t="inlineStr">
        <is>
          <t>★★★★★</t>
        </is>
      </c>
      <c r="D16" s="5" t="inlineStr">
        <is>
          <t>10</t>
        </is>
      </c>
      <c r="E16" s="9" t="inlineStr">
        <is>
          <t>THE primary AI input table. All key fields in one view.</t>
        </is>
      </c>
    </row>
    <row r="17" ht="14" customHeight="1"/>
    <row r="18" ht="20" customHeight="1">
      <c r="A18" s="14" t="inlineStr">
        <is>
          <t>HOW TO USE THIS WORKBOOK</t>
        </is>
      </c>
    </row>
    <row r="19" ht="20" customHeight="1">
      <c r="A19" s="15" t="inlineStr">
        <is>
          <t>1. Fill in your real data in: orders_fact, sku_master, supplier_offers, sku_day_sales</t>
        </is>
      </c>
    </row>
    <row r="20" ht="20" customHeight="1">
      <c r="A20" s="15" t="inlineStr">
        <is>
          <t>2. Add market estimates to: market_signals (competitor_price, price_sensitivity)</t>
        </is>
      </c>
    </row>
    <row r="21" ht="20" customHeight="1">
      <c r="A21" s="15" t="inlineStr">
        <is>
          <t>3. Add operational estimates to: operations_signals (refund_rate, support_cost)</t>
        </is>
      </c>
    </row>
    <row r="22" ht="20" customHeight="1">
      <c r="A22" s="15" t="inlineStr">
        <is>
          <t>4. pricing_features and ai_query_view will auto-derive from the above sheets</t>
        </is>
      </c>
    </row>
    <row r="23" ht="20" customHeight="1">
      <c r="A23" s="15" t="inlineStr">
        <is>
          <t>5. Upload this workbook into PriceIQ and the AI will handle the rest</t>
        </is>
      </c>
    </row>
    <row r="24" ht="20" customHeight="1">
      <c r="A24" s="15" t="inlineStr"/>
    </row>
    <row r="25" ht="20" customHeight="1">
      <c r="A25" s="14" t="inlineStr">
        <is>
          <t>IMPORTANT — SIMULATED VS REAL DATA</t>
        </is>
      </c>
    </row>
    <row r="26" ht="20" customHeight="1">
      <c r="A26" s="15" t="inlineStr">
        <is>
          <t>Fields marked [ESTIMATE] in COLUMN_GUIDE may need to be researched or approximated.</t>
        </is>
      </c>
    </row>
    <row r="27" ht="20" customHeight="1">
      <c r="A27" s="15" t="inlineStr">
        <is>
          <t>Competitor prices, price sensitivity, and refund rates are often not available directly</t>
        </is>
      </c>
    </row>
    <row r="28" ht="20" customHeight="1">
      <c r="A28" s="15" t="inlineStr">
        <is>
          <t>from transactional data — you may need to estimate or source them separately.</t>
        </is>
      </c>
    </row>
  </sheetData>
  <mergeCells count="13">
    <mergeCell ref="A24:F24"/>
    <mergeCell ref="A2:F2"/>
    <mergeCell ref="A28:F28"/>
    <mergeCell ref="A19:F19"/>
    <mergeCell ref="A1:F1"/>
    <mergeCell ref="A23:F23"/>
    <mergeCell ref="A27:F27"/>
    <mergeCell ref="A26:F26"/>
    <mergeCell ref="A22:F22"/>
    <mergeCell ref="A18:F18"/>
    <mergeCell ref="A20:F20"/>
    <mergeCell ref="A21:F21"/>
    <mergeCell ref="A25:F25"/>
  </mergeCells>
  <pageMargins left="0.75" right="0.75" top="1" bottom="1" header="0.5" footer="0.5"/>
</worksheet>
</file>

<file path=xl/worksheets/sheet2.xml><?xml version="1.0" encoding="utf-8"?>
<worksheet xmlns="http://schemas.openxmlformats.org/spreadsheetml/2006/main">
  <sheetPr>
    <tabColor rgb="001A5C3A"/>
    <outlinePr summaryBelow="1" summaryRight="1"/>
    <pageSetUpPr/>
  </sheetPr>
  <dimension ref="A1:H7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2" customWidth="1" min="3" max="3"/>
    <col width="18" customWidth="1" min="4" max="4"/>
    <col width="40" customWidth="1" min="5" max="5"/>
    <col width="18" customWidth="1" min="6" max="6"/>
    <col width="10" customWidth="1" min="7" max="7"/>
    <col width="40" customWidth="1" min="8" max="8"/>
  </cols>
  <sheetData>
    <row r="1" ht="44" customHeight="1">
      <c r="A1" s="16" t="inlineStr">
        <is>
          <t>PriceIQ — Master Column Guide</t>
        </is>
      </c>
    </row>
    <row r="2" ht="24" customHeight="1">
      <c r="A2" s="17" t="inlineStr">
        <is>
          <t>Every column used in PriceIQ — sheet, field name, type, formula/source, and example value</t>
        </is>
      </c>
    </row>
    <row r="3" ht="8" customHeight="1"/>
    <row r="4">
      <c r="A4" s="3" t="inlineStr">
        <is>
          <t>Sheet</t>
        </is>
      </c>
      <c r="B4" s="3" t="inlineStr">
        <is>
          <t>Column Name</t>
        </is>
      </c>
      <c r="C4" s="3" t="inlineStr">
        <is>
          <t>Type</t>
        </is>
      </c>
      <c r="D4" s="3" t="inlineStr">
        <is>
          <t>Data Source</t>
        </is>
      </c>
      <c r="E4" s="3" t="inlineStr">
        <is>
          <t>Formula / Logic</t>
        </is>
      </c>
      <c r="F4" s="3" t="inlineStr">
        <is>
          <t>Example Value</t>
        </is>
      </c>
      <c r="G4" s="3" t="inlineStr">
        <is>
          <t>Required?</t>
        </is>
      </c>
      <c r="H4" s="3" t="inlineStr">
        <is>
          <t>Notes</t>
        </is>
      </c>
    </row>
    <row r="5" ht="28" customHeight="1">
      <c r="A5" s="18" t="inlineStr">
        <is>
          <t>orders_fact</t>
        </is>
      </c>
      <c r="B5" s="19" t="inlineStr">
        <is>
          <t>order_id</t>
        </is>
      </c>
      <c r="C5" s="20" t="inlineStr">
        <is>
          <t>Text</t>
        </is>
      </c>
      <c r="D5" s="21" t="inlineStr">
        <is>
          <t>Direct</t>
        </is>
      </c>
      <c r="E5" s="22" t="inlineStr">
        <is>
          <t>From order export</t>
        </is>
      </c>
      <c r="F5" s="23" t="inlineStr">
        <is>
          <t>11612129</t>
        </is>
      </c>
      <c r="G5" s="24" t="inlineStr">
        <is>
          <t>Yes</t>
        </is>
      </c>
      <c r="H5" s="25" t="inlineStr">
        <is>
          <t>Unique identifier per order row</t>
        </is>
      </c>
    </row>
    <row r="6" ht="28" customHeight="1">
      <c r="A6" s="26" t="inlineStr">
        <is>
          <t>orders_fact</t>
        </is>
      </c>
      <c r="B6" s="27" t="inlineStr">
        <is>
          <t>client_name</t>
        </is>
      </c>
      <c r="C6" s="21" t="inlineStr">
        <is>
          <t>Text</t>
        </is>
      </c>
      <c r="D6" s="21" t="inlineStr">
        <is>
          <t>Direct</t>
        </is>
      </c>
      <c r="E6" s="28" t="inlineStr">
        <is>
          <t>From order export (can be anonymized)</t>
        </is>
      </c>
      <c r="F6" s="23" t="inlineStr">
        <is>
          <t>Client_001</t>
        </is>
      </c>
      <c r="G6" s="24" t="inlineStr">
        <is>
          <t>Yes</t>
        </is>
      </c>
      <c r="H6" s="29" t="inlineStr">
        <is>
          <t>B2B client placing the order</t>
        </is>
      </c>
    </row>
    <row r="7" ht="28" customHeight="1">
      <c r="A7" s="30" t="inlineStr">
        <is>
          <t>orders_fact</t>
        </is>
      </c>
      <c r="B7" s="19" t="inlineStr">
        <is>
          <t>order_date</t>
        </is>
      </c>
      <c r="C7" s="20" t="inlineStr">
        <is>
          <t>Date</t>
        </is>
      </c>
      <c r="D7" s="21" t="inlineStr">
        <is>
          <t>Direct</t>
        </is>
      </c>
      <c r="E7" s="22" t="inlineStr">
        <is>
          <t>Date portion of order timestamp</t>
        </is>
      </c>
      <c r="F7" s="23" t="inlineStr">
        <is>
          <t>2025-01-01</t>
        </is>
      </c>
      <c r="G7" s="24" t="inlineStr">
        <is>
          <t>Yes</t>
        </is>
      </c>
      <c r="H7" s="25" t="inlineStr">
        <is>
          <t>Used for daily/monthly aggregation</t>
        </is>
      </c>
    </row>
    <row r="8" ht="28" customHeight="1">
      <c r="A8" s="26" t="inlineStr">
        <is>
          <t>orders_fact</t>
        </is>
      </c>
      <c r="B8" s="27" t="inlineStr">
        <is>
          <t>brand</t>
        </is>
      </c>
      <c r="C8" s="21" t="inlineStr">
        <is>
          <t>Text</t>
        </is>
      </c>
      <c r="D8" s="21" t="inlineStr">
        <is>
          <t>Direct</t>
        </is>
      </c>
      <c r="E8" s="28" t="inlineStr">
        <is>
          <t>Consumer-facing brand name</t>
        </is>
      </c>
      <c r="F8" s="23" t="inlineStr">
        <is>
          <t>Steam</t>
        </is>
      </c>
      <c r="G8" s="24" t="inlineStr">
        <is>
          <t>Yes</t>
        </is>
      </c>
      <c r="H8" s="29" t="inlineStr">
        <is>
          <t>e.g. Steam, iTunes, Google Play</t>
        </is>
      </c>
    </row>
    <row r="9" ht="28" customHeight="1">
      <c r="A9" s="30" t="inlineStr">
        <is>
          <t>orders_fact</t>
        </is>
      </c>
      <c r="B9" s="19" t="inlineStr">
        <is>
          <t>product_name</t>
        </is>
      </c>
      <c r="C9" s="20" t="inlineStr">
        <is>
          <t>Text</t>
        </is>
      </c>
      <c r="D9" s="21" t="inlineStr">
        <is>
          <t>Direct</t>
        </is>
      </c>
      <c r="E9" s="22" t="inlineStr">
        <is>
          <t>Full product display name</t>
        </is>
      </c>
      <c r="F9" s="23" t="inlineStr">
        <is>
          <t>Steam USD 5 Global</t>
        </is>
      </c>
      <c r="G9" s="24" t="inlineStr">
        <is>
          <t>Yes</t>
        </is>
      </c>
      <c r="H9" s="25" t="inlineStr"/>
    </row>
    <row r="10" ht="28" customHeight="1">
      <c r="A10" s="26" t="inlineStr">
        <is>
          <t>orders_fact</t>
        </is>
      </c>
      <c r="B10" s="27" t="inlineStr">
        <is>
          <t>denomination</t>
        </is>
      </c>
      <c r="C10" s="21" t="inlineStr">
        <is>
          <t>Number</t>
        </is>
      </c>
      <c r="D10" s="21" t="inlineStr">
        <is>
          <t>Direct</t>
        </is>
      </c>
      <c r="E10" s="28" t="inlineStr">
        <is>
          <t>Face value of the voucher/card</t>
        </is>
      </c>
      <c r="F10" s="23" t="inlineStr">
        <is>
          <t>5.00</t>
        </is>
      </c>
      <c r="G10" s="24" t="inlineStr">
        <is>
          <t>Yes</t>
        </is>
      </c>
      <c r="H10" s="29" t="inlineStr">
        <is>
          <t>Used as sell_price proxy in this template</t>
        </is>
      </c>
    </row>
    <row r="11" ht="28" customHeight="1">
      <c r="A11" s="30" t="inlineStr">
        <is>
          <t>orders_fact</t>
        </is>
      </c>
      <c r="B11" s="19" t="inlineStr">
        <is>
          <t>supplier_name</t>
        </is>
      </c>
      <c r="C11" s="20" t="inlineStr">
        <is>
          <t>Text</t>
        </is>
      </c>
      <c r="D11" s="21" t="inlineStr">
        <is>
          <t>Direct</t>
        </is>
      </c>
      <c r="E11" s="22" t="inlineStr">
        <is>
          <t>Supplier fulfilling the order</t>
        </is>
      </c>
      <c r="F11" s="23" t="inlineStr">
        <is>
          <t>Supplier_Atlas</t>
        </is>
      </c>
      <c r="G11" s="24" t="inlineStr">
        <is>
          <t>Yes</t>
        </is>
      </c>
      <c r="H11" s="25" t="inlineStr">
        <is>
          <t>Can be anonymized</t>
        </is>
      </c>
    </row>
    <row r="12" ht="28" customHeight="1">
      <c r="A12" s="26" t="inlineStr">
        <is>
          <t>orders_fact</t>
        </is>
      </c>
      <c r="B12" s="27" t="inlineStr">
        <is>
          <t>supplier_price</t>
        </is>
      </c>
      <c r="C12" s="21" t="inlineStr">
        <is>
          <t>Number</t>
        </is>
      </c>
      <c r="D12" s="21" t="inlineStr">
        <is>
          <t>Direct</t>
        </is>
      </c>
      <c r="E12" s="28" t="inlineStr">
        <is>
          <t>Per-unit cost from supplier</t>
        </is>
      </c>
      <c r="F12" s="23" t="inlineStr">
        <is>
          <t>4.727</t>
        </is>
      </c>
      <c r="G12" s="24" t="inlineStr">
        <is>
          <t>Yes</t>
        </is>
      </c>
      <c r="H12" s="29" t="inlineStr">
        <is>
          <t>Used as supplier_cost proxy</t>
        </is>
      </c>
    </row>
    <row r="13" ht="28" customHeight="1">
      <c r="A13" s="30" t="inlineStr">
        <is>
          <t>orders_fact</t>
        </is>
      </c>
      <c r="B13" s="19" t="inlineStr">
        <is>
          <t>order_status</t>
        </is>
      </c>
      <c r="C13" s="20" t="inlineStr">
        <is>
          <t>Text</t>
        </is>
      </c>
      <c r="D13" s="21" t="inlineStr">
        <is>
          <t>Direct</t>
        </is>
      </c>
      <c r="E13" s="22" t="inlineStr">
        <is>
          <t>Detailed processing status</t>
        </is>
      </c>
      <c r="F13" s="23" t="inlineStr">
        <is>
          <t>Succeeded</t>
        </is>
      </c>
      <c r="G13" s="24" t="inlineStr">
        <is>
          <t>Yes</t>
        </is>
      </c>
      <c r="H13" s="25" t="inlineStr">
        <is>
          <t>Filter on Succeeded for valid sales</t>
        </is>
      </c>
    </row>
    <row r="14" ht="28" customHeight="1">
      <c r="A14" s="26" t="inlineStr">
        <is>
          <t>orders_fact</t>
        </is>
      </c>
      <c r="B14" s="27" t="inlineStr">
        <is>
          <t>countrycode</t>
        </is>
      </c>
      <c r="C14" s="21" t="inlineStr">
        <is>
          <t>Text</t>
        </is>
      </c>
      <c r="D14" s="21" t="inlineStr">
        <is>
          <t>Direct</t>
        </is>
      </c>
      <c r="E14" s="28" t="inlineStr">
        <is>
          <t>Country/region code</t>
        </is>
      </c>
      <c r="F14" s="23" t="inlineStr">
        <is>
          <t>US</t>
        </is>
      </c>
      <c r="G14" s="24" t="inlineStr">
        <is>
          <t>Yes</t>
        </is>
      </c>
      <c r="H14" s="29" t="inlineStr">
        <is>
          <t>Used in sku_id construction</t>
        </is>
      </c>
    </row>
    <row r="15" ht="28" customHeight="1">
      <c r="A15" s="30" t="inlineStr">
        <is>
          <t>orders_fact</t>
        </is>
      </c>
      <c r="B15" s="19" t="inlineStr">
        <is>
          <t>currencycode</t>
        </is>
      </c>
      <c r="C15" s="20" t="inlineStr">
        <is>
          <t>Text</t>
        </is>
      </c>
      <c r="D15" s="21" t="inlineStr">
        <is>
          <t>Direct</t>
        </is>
      </c>
      <c r="E15" s="22" t="inlineStr">
        <is>
          <t>Selling currency</t>
        </is>
      </c>
      <c r="F15" s="23" t="inlineStr">
        <is>
          <t>USD</t>
        </is>
      </c>
      <c r="G15" s="24" t="inlineStr">
        <is>
          <t>Yes</t>
        </is>
      </c>
      <c r="H15" s="25" t="inlineStr"/>
    </row>
    <row r="16" ht="28" customHeight="1">
      <c r="A16" s="26" t="inlineStr">
        <is>
          <t>orders_fact</t>
        </is>
      </c>
      <c r="B16" s="27" t="inlineStr">
        <is>
          <t>sku_id</t>
        </is>
      </c>
      <c r="C16" s="21" t="inlineStr">
        <is>
          <t>Text</t>
        </is>
      </c>
      <c r="D16" s="31" t="inlineStr">
        <is>
          <t>Derived</t>
        </is>
      </c>
      <c r="E16" s="32">
        <f>brand &amp; "_" &amp; denomination &amp; "_" &amp; countrycode</f>
        <v/>
      </c>
      <c r="F16" s="23" t="inlineStr">
        <is>
          <t>Steam_5.0_US</t>
        </is>
      </c>
      <c r="G16" s="24" t="inlineStr">
        <is>
          <t>Yes</t>
        </is>
      </c>
      <c r="H16" s="29" t="inlineStr">
        <is>
          <t>Stable SKU key used across all sheets</t>
        </is>
      </c>
    </row>
    <row r="17" ht="28" customHeight="1">
      <c r="A17" s="30" t="inlineStr">
        <is>
          <t>orders_fact</t>
        </is>
      </c>
      <c r="B17" s="19" t="inlineStr">
        <is>
          <t>units</t>
        </is>
      </c>
      <c r="C17" s="20" t="inlineStr">
        <is>
          <t>Number</t>
        </is>
      </c>
      <c r="D17" s="31" t="inlineStr">
        <is>
          <t>Derived</t>
        </is>
      </c>
      <c r="E17" s="32">
        <f>1 per row (each row = 1 unit)</f>
        <v/>
      </c>
      <c r="F17" s="23" t="inlineStr">
        <is>
          <t>1</t>
        </is>
      </c>
      <c r="G17" s="24" t="inlineStr">
        <is>
          <t>Yes</t>
        </is>
      </c>
      <c r="H17" s="25" t="inlineStr">
        <is>
          <t>Adjust if rows represent multiple units</t>
        </is>
      </c>
    </row>
    <row r="18" ht="28" customHeight="1">
      <c r="A18" s="26" t="inlineStr">
        <is>
          <t>orders_fact</t>
        </is>
      </c>
      <c r="B18" s="27" t="inlineStr">
        <is>
          <t>sell_price</t>
        </is>
      </c>
      <c r="C18" s="21" t="inlineStr">
        <is>
          <t>Number</t>
        </is>
      </c>
      <c r="D18" s="31" t="inlineStr">
        <is>
          <t>Derived</t>
        </is>
      </c>
      <c r="E18" s="32">
        <f>denomination</f>
        <v/>
      </c>
      <c r="F18" s="23" t="inlineStr">
        <is>
          <t>5.00</t>
        </is>
      </c>
      <c r="G18" s="24" t="inlineStr">
        <is>
          <t>Yes</t>
        </is>
      </c>
      <c r="H18" s="29" t="inlineStr">
        <is>
          <t>Simplified — replace with actual invoice price if available</t>
        </is>
      </c>
    </row>
    <row r="19" ht="28" customHeight="1">
      <c r="A19" s="30" t="inlineStr">
        <is>
          <t>orders_fact</t>
        </is>
      </c>
      <c r="B19" s="19" t="inlineStr">
        <is>
          <t>supplier_cost</t>
        </is>
      </c>
      <c r="C19" s="20" t="inlineStr">
        <is>
          <t>Number</t>
        </is>
      </c>
      <c r="D19" s="31" t="inlineStr">
        <is>
          <t>Derived</t>
        </is>
      </c>
      <c r="E19" s="32">
        <f>supplier_price</f>
        <v/>
      </c>
      <c r="F19" s="23" t="inlineStr">
        <is>
          <t>4.727</t>
        </is>
      </c>
      <c r="G19" s="24" t="inlineStr">
        <is>
          <t>Yes</t>
        </is>
      </c>
      <c r="H19" s="25" t="inlineStr"/>
    </row>
    <row r="20" ht="28" customHeight="1">
      <c r="A20" s="18" t="inlineStr">
        <is>
          <t>sku_master</t>
        </is>
      </c>
      <c r="B20" s="27" t="inlineStr">
        <is>
          <t>sku_id</t>
        </is>
      </c>
      <c r="C20" s="21" t="inlineStr">
        <is>
          <t>Text</t>
        </is>
      </c>
      <c r="D20" s="31" t="inlineStr">
        <is>
          <t>Derived key</t>
        </is>
      </c>
      <c r="E20" s="32">
        <f>brand &amp; "_" &amp; denomination &amp; "_" &amp; region</f>
        <v/>
      </c>
      <c r="F20" s="23" t="inlineStr">
        <is>
          <t>Steam_5.0_US</t>
        </is>
      </c>
      <c r="G20" s="24" t="inlineStr">
        <is>
          <t>Yes</t>
        </is>
      </c>
      <c r="H20" s="29" t="inlineStr">
        <is>
          <t>Must match orders_fact.sku_id</t>
        </is>
      </c>
    </row>
    <row r="21" ht="28" customHeight="1">
      <c r="A21" s="30" t="inlineStr">
        <is>
          <t>sku_master</t>
        </is>
      </c>
      <c r="B21" s="19" t="inlineStr">
        <is>
          <t>brand</t>
        </is>
      </c>
      <c r="C21" s="20" t="inlineStr">
        <is>
          <t>Text</t>
        </is>
      </c>
      <c r="D21" s="21" t="inlineStr">
        <is>
          <t>Direct</t>
        </is>
      </c>
      <c r="E21" s="22" t="inlineStr">
        <is>
          <t>Brand name</t>
        </is>
      </c>
      <c r="F21" s="23" t="inlineStr">
        <is>
          <t>Steam</t>
        </is>
      </c>
      <c r="G21" s="24" t="inlineStr">
        <is>
          <t>Yes</t>
        </is>
      </c>
      <c r="H21" s="25" t="inlineStr"/>
    </row>
    <row r="22" ht="28" customHeight="1">
      <c r="A22" s="26" t="inlineStr">
        <is>
          <t>sku_master</t>
        </is>
      </c>
      <c r="B22" s="27" t="inlineStr">
        <is>
          <t>product_name</t>
        </is>
      </c>
      <c r="C22" s="21" t="inlineStr">
        <is>
          <t>Text</t>
        </is>
      </c>
      <c r="D22" s="21" t="inlineStr">
        <is>
          <t>Direct</t>
        </is>
      </c>
      <c r="E22" s="28" t="inlineStr">
        <is>
          <t>Full product name</t>
        </is>
      </c>
      <c r="F22" s="23" t="inlineStr">
        <is>
          <t>Steam USD 5 Global</t>
        </is>
      </c>
      <c r="G22" s="33" t="inlineStr">
        <is>
          <t>No</t>
        </is>
      </c>
      <c r="H22" s="29" t="inlineStr"/>
    </row>
    <row r="23" ht="28" customHeight="1">
      <c r="A23" s="30" t="inlineStr">
        <is>
          <t>sku_master</t>
        </is>
      </c>
      <c r="B23" s="19" t="inlineStr">
        <is>
          <t>denomination</t>
        </is>
      </c>
      <c r="C23" s="20" t="inlineStr">
        <is>
          <t>Number</t>
        </is>
      </c>
      <c r="D23" s="21" t="inlineStr">
        <is>
          <t>Direct</t>
        </is>
      </c>
      <c r="E23" s="22" t="inlineStr">
        <is>
          <t>Face value</t>
        </is>
      </c>
      <c r="F23" s="23" t="inlineStr">
        <is>
          <t>5.00</t>
        </is>
      </c>
      <c r="G23" s="24" t="inlineStr">
        <is>
          <t>Yes</t>
        </is>
      </c>
      <c r="H23" s="25" t="inlineStr"/>
    </row>
    <row r="24" ht="28" customHeight="1">
      <c r="A24" s="26" t="inlineStr">
        <is>
          <t>sku_master</t>
        </is>
      </c>
      <c r="B24" s="27" t="inlineStr">
        <is>
          <t>region</t>
        </is>
      </c>
      <c r="C24" s="21" t="inlineStr">
        <is>
          <t>Text</t>
        </is>
      </c>
      <c r="D24" s="21" t="inlineStr">
        <is>
          <t>Direct</t>
        </is>
      </c>
      <c r="E24" s="28" t="inlineStr">
        <is>
          <t>Country or market code</t>
        </is>
      </c>
      <c r="F24" s="23" t="inlineStr">
        <is>
          <t>US</t>
        </is>
      </c>
      <c r="G24" s="24" t="inlineStr">
        <is>
          <t>Yes</t>
        </is>
      </c>
      <c r="H24" s="29" t="inlineStr"/>
    </row>
    <row r="25" ht="28" customHeight="1">
      <c r="A25" s="30" t="inlineStr">
        <is>
          <t>sku_master</t>
        </is>
      </c>
      <c r="B25" s="19" t="inlineStr">
        <is>
          <t>strategic_flag</t>
        </is>
      </c>
      <c r="C25" s="20" t="inlineStr">
        <is>
          <t>Text</t>
        </is>
      </c>
      <c r="D25" s="34" t="inlineStr">
        <is>
          <t>Manual</t>
        </is>
      </c>
      <c r="E25" s="22" t="inlineStr">
        <is>
          <t>Manual flag: HIGH / MEDIUM / LOW / WATCH</t>
        </is>
      </c>
      <c r="F25" s="23" t="inlineStr">
        <is>
          <t>HIGH</t>
        </is>
      </c>
      <c r="G25" s="35" t="inlineStr">
        <is>
          <t>No</t>
        </is>
      </c>
      <c r="H25" s="25" t="inlineStr">
        <is>
          <t>Used for prioritisation in analysis</t>
        </is>
      </c>
    </row>
    <row r="26" ht="28" customHeight="1">
      <c r="A26" s="18" t="inlineStr">
        <is>
          <t>supplier_offers</t>
        </is>
      </c>
      <c r="B26" s="27" t="inlineStr">
        <is>
          <t>sku_id</t>
        </is>
      </c>
      <c r="C26" s="21" t="inlineStr">
        <is>
          <t>Text</t>
        </is>
      </c>
      <c r="D26" s="31" t="inlineStr">
        <is>
          <t>Lookup</t>
        </is>
      </c>
      <c r="E26" s="28" t="inlineStr">
        <is>
          <t>Must match sku_master.sku_id</t>
        </is>
      </c>
      <c r="F26" s="23" t="inlineStr">
        <is>
          <t>Steam_5.0_US</t>
        </is>
      </c>
      <c r="G26" s="24" t="inlineStr">
        <is>
          <t>Yes</t>
        </is>
      </c>
      <c r="H26" s="29" t="inlineStr">
        <is>
          <t>Join key</t>
        </is>
      </c>
    </row>
    <row r="27" ht="28" customHeight="1">
      <c r="A27" s="30" t="inlineStr">
        <is>
          <t>supplier_offers</t>
        </is>
      </c>
      <c r="B27" s="19" t="inlineStr">
        <is>
          <t>supplier_name</t>
        </is>
      </c>
      <c r="C27" s="20" t="inlineStr">
        <is>
          <t>Text</t>
        </is>
      </c>
      <c r="D27" s="21" t="inlineStr">
        <is>
          <t>Direct</t>
        </is>
      </c>
      <c r="E27" s="22" t="inlineStr">
        <is>
          <t>Supplier name</t>
        </is>
      </c>
      <c r="F27" s="23" t="inlineStr">
        <is>
          <t>Supplier_Atlas</t>
        </is>
      </c>
      <c r="G27" s="24" t="inlineStr">
        <is>
          <t>Yes</t>
        </is>
      </c>
      <c r="H27" s="25" t="inlineStr"/>
    </row>
    <row r="28" ht="28" customHeight="1">
      <c r="A28" s="26" t="inlineStr">
        <is>
          <t>supplier_offers</t>
        </is>
      </c>
      <c r="B28" s="27" t="inlineStr">
        <is>
          <t>supplier_cost</t>
        </is>
      </c>
      <c r="C28" s="21" t="inlineStr">
        <is>
          <t>Number</t>
        </is>
      </c>
      <c r="D28" s="21" t="inlineStr">
        <is>
          <t>Direct</t>
        </is>
      </c>
      <c r="E28" s="28" t="inlineStr">
        <is>
          <t>Unit cost from this supplier</t>
        </is>
      </c>
      <c r="F28" s="23" t="inlineStr">
        <is>
          <t>4.727</t>
        </is>
      </c>
      <c r="G28" s="24" t="inlineStr">
        <is>
          <t>Yes</t>
        </is>
      </c>
      <c r="H28" s="29" t="inlineStr"/>
    </row>
    <row r="29" ht="28" customHeight="1">
      <c r="A29" s="30" t="inlineStr">
        <is>
          <t>supplier_offers</t>
        </is>
      </c>
      <c r="B29" s="36" t="inlineStr">
        <is>
          <t>supplier_fee</t>
        </is>
      </c>
      <c r="C29" s="20" t="inlineStr">
        <is>
          <t>Number</t>
        </is>
      </c>
      <c r="D29" s="37" t="inlineStr">
        <is>
          <t>Direct/Estimate</t>
        </is>
      </c>
      <c r="E29" s="22" t="inlineStr">
        <is>
          <t>Per-unit transaction fee</t>
        </is>
      </c>
      <c r="F29" s="23" t="inlineStr">
        <is>
          <t>0.048</t>
        </is>
      </c>
      <c r="G29" s="35" t="inlineStr">
        <is>
          <t>No</t>
        </is>
      </c>
      <c r="H29" s="38" t="inlineStr">
        <is>
          <t>[ESTIMATE] if not available separately</t>
        </is>
      </c>
    </row>
    <row r="30" ht="28" customHeight="1">
      <c r="A30" s="26" t="inlineStr">
        <is>
          <t>supplier_offers</t>
        </is>
      </c>
      <c r="B30" s="36" t="inlineStr">
        <is>
          <t>reliability_score</t>
        </is>
      </c>
      <c r="C30" s="21" t="inlineStr">
        <is>
          <t>Number</t>
        </is>
      </c>
      <c r="D30" s="39" t="inlineStr">
        <is>
          <t>Estimate</t>
        </is>
      </c>
      <c r="E30" s="32" t="inlineStr">
        <is>
          <t>0–1 scale. 1 = never fails</t>
        </is>
      </c>
      <c r="F30" s="23" t="inlineStr">
        <is>
          <t>0.98</t>
        </is>
      </c>
      <c r="G30" s="33" t="inlineStr">
        <is>
          <t>No</t>
        </is>
      </c>
      <c r="H30" s="38" t="inlineStr">
        <is>
          <t>[ESTIMATE] Based on historical fill rates</t>
        </is>
      </c>
    </row>
    <row r="31" ht="28" customHeight="1">
      <c r="A31" s="30" t="inlineStr">
        <is>
          <t>supplier_offers</t>
        </is>
      </c>
      <c r="B31" s="36" t="inlineStr">
        <is>
          <t>inventory</t>
        </is>
      </c>
      <c r="C31" s="20" t="inlineStr">
        <is>
          <t>Number</t>
        </is>
      </c>
      <c r="D31" s="37" t="inlineStr">
        <is>
          <t>Direct/Estimate</t>
        </is>
      </c>
      <c r="E31" s="22" t="inlineStr">
        <is>
          <t>Available stock units</t>
        </is>
      </c>
      <c r="F31" s="23" t="inlineStr">
        <is>
          <t>5000</t>
        </is>
      </c>
      <c r="G31" s="35" t="inlineStr">
        <is>
          <t>No</t>
        </is>
      </c>
      <c r="H31" s="38" t="inlineStr">
        <is>
          <t>[ESTIMATE] or leave blank if digital/unlimited</t>
        </is>
      </c>
    </row>
    <row r="32" ht="28" customHeight="1">
      <c r="A32" s="18" t="inlineStr">
        <is>
          <t>market_signals</t>
        </is>
      </c>
      <c r="B32" s="27" t="inlineStr">
        <is>
          <t>sku_id</t>
        </is>
      </c>
      <c r="C32" s="21" t="inlineStr">
        <is>
          <t>Text</t>
        </is>
      </c>
      <c r="D32" s="31" t="inlineStr">
        <is>
          <t>Lookup</t>
        </is>
      </c>
      <c r="E32" s="28" t="inlineStr">
        <is>
          <t>Must match sku_master.sku_id</t>
        </is>
      </c>
      <c r="F32" s="23" t="inlineStr">
        <is>
          <t>Steam_5.0_US</t>
        </is>
      </c>
      <c r="G32" s="24" t="inlineStr">
        <is>
          <t>Yes</t>
        </is>
      </c>
      <c r="H32" s="29" t="inlineStr">
        <is>
          <t>Join key</t>
        </is>
      </c>
    </row>
    <row r="33" ht="28" customHeight="1">
      <c r="A33" s="30" t="inlineStr">
        <is>
          <t>market_signals</t>
        </is>
      </c>
      <c r="B33" s="19" t="inlineStr">
        <is>
          <t>units_30d</t>
        </is>
      </c>
      <c r="C33" s="20" t="inlineStr">
        <is>
          <t>Number</t>
        </is>
      </c>
      <c r="D33" s="31" t="inlineStr">
        <is>
          <t>Derived</t>
        </is>
      </c>
      <c r="E33" s="32">
        <f>SUMIF(orders_fact.sku_id, sku_id, orders_fact.units) for last 30 days</f>
        <v/>
      </c>
      <c r="F33" s="23" t="inlineStr">
        <is>
          <t>42</t>
        </is>
      </c>
      <c r="G33" s="24" t="inlineStr">
        <is>
          <t>Yes</t>
        </is>
      </c>
      <c r="H33" s="25" t="inlineStr">
        <is>
          <t>Demand proxy</t>
        </is>
      </c>
    </row>
    <row r="34" ht="28" customHeight="1">
      <c r="A34" s="26" t="inlineStr">
        <is>
          <t>market_signals</t>
        </is>
      </c>
      <c r="B34" s="27" t="inlineStr">
        <is>
          <t>units_60d</t>
        </is>
      </c>
      <c r="C34" s="21" t="inlineStr">
        <is>
          <t>Number</t>
        </is>
      </c>
      <c r="D34" s="31" t="inlineStr">
        <is>
          <t>Derived</t>
        </is>
      </c>
      <c r="E34" s="28" t="inlineStr">
        <is>
          <t>Same as above for 60 days</t>
        </is>
      </c>
      <c r="F34" s="23" t="inlineStr">
        <is>
          <t>88</t>
        </is>
      </c>
      <c r="G34" s="33" t="inlineStr">
        <is>
          <t>No</t>
        </is>
      </c>
      <c r="H34" s="29" t="inlineStr"/>
    </row>
    <row r="35" ht="28" customHeight="1">
      <c r="A35" s="30" t="inlineStr">
        <is>
          <t>market_signals</t>
        </is>
      </c>
      <c r="B35" s="19" t="inlineStr">
        <is>
          <t>demand_trend_30d</t>
        </is>
      </c>
      <c r="C35" s="20" t="inlineStr">
        <is>
          <t>Number</t>
        </is>
      </c>
      <c r="D35" s="31" t="inlineStr">
        <is>
          <t>Derived</t>
        </is>
      </c>
      <c r="E35" s="32">
        <f>units_30d / (units_60d - units_30d). &gt;1 = growing</f>
        <v/>
      </c>
      <c r="F35" s="23" t="inlineStr">
        <is>
          <t>1.1</t>
        </is>
      </c>
      <c r="G35" s="35" t="inlineStr">
        <is>
          <t>No</t>
        </is>
      </c>
      <c r="H35" s="25" t="inlineStr"/>
    </row>
    <row r="36" ht="28" customHeight="1">
      <c r="A36" s="26" t="inlineStr">
        <is>
          <t>market_signals</t>
        </is>
      </c>
      <c r="B36" s="27" t="inlineStr">
        <is>
          <t>sell_price</t>
        </is>
      </c>
      <c r="C36" s="21" t="inlineStr">
        <is>
          <t>Number</t>
        </is>
      </c>
      <c r="D36" s="31" t="inlineStr">
        <is>
          <t>Lookup</t>
        </is>
      </c>
      <c r="E36" s="32">
        <f>VLOOKUP(sku_id, orders_fact, sell_price)</f>
        <v/>
      </c>
      <c r="F36" s="23" t="inlineStr">
        <is>
          <t>5.00</t>
        </is>
      </c>
      <c r="G36" s="24" t="inlineStr">
        <is>
          <t>Yes</t>
        </is>
      </c>
      <c r="H36" s="29" t="inlineStr">
        <is>
          <t>Current selling price</t>
        </is>
      </c>
    </row>
    <row r="37" ht="28" customHeight="1">
      <c r="A37" s="30" t="inlineStr">
        <is>
          <t>market_signals</t>
        </is>
      </c>
      <c r="B37" s="36" t="inlineStr">
        <is>
          <t>competitor_price</t>
        </is>
      </c>
      <c r="C37" s="20" t="inlineStr">
        <is>
          <t>Number</t>
        </is>
      </c>
      <c r="D37" s="34" t="inlineStr">
        <is>
          <t>Manual/Research</t>
        </is>
      </c>
      <c r="E37" s="22" t="inlineStr">
        <is>
          <t>Market benchmark price for equivalent product</t>
        </is>
      </c>
      <c r="F37" s="23" t="inlineStr">
        <is>
          <t>4.95</t>
        </is>
      </c>
      <c r="G37" s="24" t="inlineStr">
        <is>
          <t>Yes</t>
        </is>
      </c>
      <c r="H37" s="38" t="inlineStr">
        <is>
          <t>[ESTIMATE] Key field — research or estimate</t>
        </is>
      </c>
    </row>
    <row r="38" ht="28" customHeight="1">
      <c r="A38" s="26" t="inlineStr">
        <is>
          <t>market_signals</t>
        </is>
      </c>
      <c r="B38" s="36" t="inlineStr">
        <is>
          <t>price_sensitivity</t>
        </is>
      </c>
      <c r="C38" s="21" t="inlineStr">
        <is>
          <t>Number</t>
        </is>
      </c>
      <c r="D38" s="39" t="inlineStr">
        <is>
          <t>Estimate</t>
        </is>
      </c>
      <c r="E38" s="28" t="inlineStr">
        <is>
          <t>0–1. How much demand drops per 1% price increase</t>
        </is>
      </c>
      <c r="F38" s="23" t="inlineStr">
        <is>
          <t>0.3</t>
        </is>
      </c>
      <c r="G38" s="24" t="inlineStr">
        <is>
          <t>Yes</t>
        </is>
      </c>
      <c r="H38" s="38" t="inlineStr">
        <is>
          <t>[ESTIMATE] 0.1=inelastic, 1.0=very elastic</t>
        </is>
      </c>
    </row>
    <row r="39" ht="28" customHeight="1">
      <c r="A39" s="30" t="inlineStr">
        <is>
          <t>market_signals</t>
        </is>
      </c>
      <c r="B39" s="36" t="inlineStr">
        <is>
          <t>seasonality_index</t>
        </is>
      </c>
      <c r="C39" s="20" t="inlineStr">
        <is>
          <t>Number</t>
        </is>
      </c>
      <c r="D39" s="39" t="inlineStr">
        <is>
          <t>Estimate</t>
        </is>
      </c>
      <c r="E39" s="32" t="inlineStr">
        <is>
          <t>&gt;1 = above average demand period. 1 = neutral</t>
        </is>
      </c>
      <c r="F39" s="23" t="inlineStr">
        <is>
          <t>1.1</t>
        </is>
      </c>
      <c r="G39" s="35" t="inlineStr">
        <is>
          <t>No</t>
        </is>
      </c>
      <c r="H39" s="38" t="inlineStr">
        <is>
          <t>[ESTIMATE] Optional enrichment</t>
        </is>
      </c>
    </row>
    <row r="40" ht="28" customHeight="1">
      <c r="A40" s="18" t="inlineStr">
        <is>
          <t>operations_signals</t>
        </is>
      </c>
      <c r="B40" s="27" t="inlineStr">
        <is>
          <t>sku_id</t>
        </is>
      </c>
      <c r="C40" s="21" t="inlineStr">
        <is>
          <t>Text</t>
        </is>
      </c>
      <c r="D40" s="31" t="inlineStr">
        <is>
          <t>Lookup</t>
        </is>
      </c>
      <c r="E40" s="28" t="inlineStr">
        <is>
          <t>Must match sku_master.sku_id</t>
        </is>
      </c>
      <c r="F40" s="23" t="inlineStr">
        <is>
          <t>Steam_5.0_US</t>
        </is>
      </c>
      <c r="G40" s="24" t="inlineStr">
        <is>
          <t>Yes</t>
        </is>
      </c>
      <c r="H40" s="29" t="inlineStr">
        <is>
          <t>Join key</t>
        </is>
      </c>
    </row>
    <row r="41" ht="28" customHeight="1">
      <c r="A41" s="30" t="inlineStr">
        <is>
          <t>operations_signals</t>
        </is>
      </c>
      <c r="B41" s="19" t="inlineStr">
        <is>
          <t>order_count</t>
        </is>
      </c>
      <c r="C41" s="20" t="inlineStr">
        <is>
          <t>Number</t>
        </is>
      </c>
      <c r="D41" s="31" t="inlineStr">
        <is>
          <t>Derived</t>
        </is>
      </c>
      <c r="E41" s="32">
        <f>COUNTIF(orders_fact.sku_id, sku_id)</f>
        <v/>
      </c>
      <c r="F41" s="23" t="inlineStr">
        <is>
          <t>42</t>
        </is>
      </c>
      <c r="G41" s="35" t="inlineStr">
        <is>
          <t>No</t>
        </is>
      </c>
      <c r="H41" s="25" t="inlineStr"/>
    </row>
    <row r="42" ht="28" customHeight="1">
      <c r="A42" s="26" t="inlineStr">
        <is>
          <t>operations_signals</t>
        </is>
      </c>
      <c r="B42" s="36" t="inlineStr">
        <is>
          <t>refund_rate</t>
        </is>
      </c>
      <c r="C42" s="21" t="inlineStr">
        <is>
          <t>Number</t>
        </is>
      </c>
      <c r="D42" s="40" t="inlineStr">
        <is>
          <t>Derived/Estimate</t>
        </is>
      </c>
      <c r="E42" s="32">
        <f>refunded_orders / total_orders</f>
        <v/>
      </c>
      <c r="F42" s="23" t="inlineStr">
        <is>
          <t>0.021</t>
        </is>
      </c>
      <c r="G42" s="24" t="inlineStr">
        <is>
          <t>Yes</t>
        </is>
      </c>
      <c r="H42" s="38" t="inlineStr">
        <is>
          <t>[ESTIMATE] if refund data unavailable — industry avg ~2-3%</t>
        </is>
      </c>
    </row>
    <row r="43" ht="28" customHeight="1">
      <c r="A43" s="30" t="inlineStr">
        <is>
          <t>operations_signals</t>
        </is>
      </c>
      <c r="B43" s="36" t="inlineStr">
        <is>
          <t>support_cost</t>
        </is>
      </c>
      <c r="C43" s="20" t="inlineStr">
        <is>
          <t>Number</t>
        </is>
      </c>
      <c r="D43" s="39" t="inlineStr">
        <is>
          <t>Estimate</t>
        </is>
      </c>
      <c r="E43" s="22" t="inlineStr">
        <is>
          <t>Per-unit support/ops overhead in sell currency</t>
        </is>
      </c>
      <c r="F43" s="23" t="inlineStr">
        <is>
          <t>0.13</t>
        </is>
      </c>
      <c r="G43" s="24" t="inlineStr">
        <is>
          <t>Yes</t>
        </is>
      </c>
      <c r="H43" s="38" t="inlineStr">
        <is>
          <t>[ESTIMATE] e.g. $0.10–$0.50 depending on complexity</t>
        </is>
      </c>
    </row>
    <row r="44" ht="28" customHeight="1">
      <c r="A44" s="18" t="inlineStr">
        <is>
          <t>pricing_features</t>
        </is>
      </c>
      <c r="B44" s="27" t="inlineStr">
        <is>
          <t>sku_id</t>
        </is>
      </c>
      <c r="C44" s="21" t="inlineStr">
        <is>
          <t>Text</t>
        </is>
      </c>
      <c r="D44" s="31" t="inlineStr">
        <is>
          <t>From sku_master</t>
        </is>
      </c>
      <c r="E44" s="28" t="inlineStr">
        <is>
          <t>Stable SKU identifier</t>
        </is>
      </c>
      <c r="F44" s="23" t="inlineStr">
        <is>
          <t>Steam_5.0_US</t>
        </is>
      </c>
      <c r="G44" s="24" t="inlineStr">
        <is>
          <t>Yes</t>
        </is>
      </c>
      <c r="H44" s="29" t="inlineStr"/>
    </row>
    <row r="45" ht="28" customHeight="1">
      <c r="A45" s="30" t="inlineStr">
        <is>
          <t>pricing_features</t>
        </is>
      </c>
      <c r="B45" s="19" t="inlineStr">
        <is>
          <t>supplier_name</t>
        </is>
      </c>
      <c r="C45" s="20" t="inlineStr">
        <is>
          <t>Text</t>
        </is>
      </c>
      <c r="D45" s="31" t="inlineStr">
        <is>
          <t>From supplier_offers</t>
        </is>
      </c>
      <c r="E45" s="22" t="inlineStr">
        <is>
          <t>Best or selected supplier</t>
        </is>
      </c>
      <c r="F45" s="23" t="inlineStr">
        <is>
          <t>Supplier_Atlas</t>
        </is>
      </c>
      <c r="G45" s="24" t="inlineStr">
        <is>
          <t>Yes</t>
        </is>
      </c>
      <c r="H45" s="25" t="inlineStr"/>
    </row>
    <row r="46" ht="28" customHeight="1">
      <c r="A46" s="26" t="inlineStr">
        <is>
          <t>pricing_features</t>
        </is>
      </c>
      <c r="B46" s="27" t="inlineStr">
        <is>
          <t>sell_price</t>
        </is>
      </c>
      <c r="C46" s="21" t="inlineStr">
        <is>
          <t>Number</t>
        </is>
      </c>
      <c r="D46" s="31" t="inlineStr">
        <is>
          <t>From market_signals</t>
        </is>
      </c>
      <c r="E46" s="28" t="inlineStr">
        <is>
          <t>Current selling price</t>
        </is>
      </c>
      <c r="F46" s="23" t="inlineStr">
        <is>
          <t>5.00</t>
        </is>
      </c>
      <c r="G46" s="24" t="inlineStr">
        <is>
          <t>Yes</t>
        </is>
      </c>
      <c r="H46" s="29" t="inlineStr"/>
    </row>
    <row r="47" ht="28" customHeight="1">
      <c r="A47" s="30" t="inlineStr">
        <is>
          <t>pricing_features</t>
        </is>
      </c>
      <c r="B47" s="19" t="inlineStr">
        <is>
          <t>supplier_cost</t>
        </is>
      </c>
      <c r="C47" s="20" t="inlineStr">
        <is>
          <t>Number</t>
        </is>
      </c>
      <c r="D47" s="31" t="inlineStr">
        <is>
          <t>From supplier_offers</t>
        </is>
      </c>
      <c r="E47" s="22" t="inlineStr">
        <is>
          <t>Supplier unit cost</t>
        </is>
      </c>
      <c r="F47" s="23" t="inlineStr">
        <is>
          <t>4.727</t>
        </is>
      </c>
      <c r="G47" s="24" t="inlineStr">
        <is>
          <t>Yes</t>
        </is>
      </c>
      <c r="H47" s="25" t="inlineStr"/>
    </row>
    <row r="48" ht="28" customHeight="1">
      <c r="A48" s="26" t="inlineStr">
        <is>
          <t>pricing_features</t>
        </is>
      </c>
      <c r="B48" s="41" t="inlineStr">
        <is>
          <t>gross_margin</t>
        </is>
      </c>
      <c r="C48" s="21" t="inlineStr">
        <is>
          <t>Number</t>
        </is>
      </c>
      <c r="D48" s="42" t="inlineStr">
        <is>
          <t>DERIVED</t>
        </is>
      </c>
      <c r="E48" s="32">
        <f>sell_price - supplier_cost</f>
        <v/>
      </c>
      <c r="F48" s="23" t="inlineStr">
        <is>
          <t>0.273</t>
        </is>
      </c>
      <c r="G48" s="24" t="inlineStr">
        <is>
          <t>Yes</t>
        </is>
      </c>
      <c r="H48" s="29" t="inlineStr">
        <is>
          <t>Key metric</t>
        </is>
      </c>
    </row>
    <row r="49" ht="28" customHeight="1">
      <c r="A49" s="30" t="inlineStr">
        <is>
          <t>pricing_features</t>
        </is>
      </c>
      <c r="B49" s="41" t="inlineStr">
        <is>
          <t>refund_cost</t>
        </is>
      </c>
      <c r="C49" s="20" t="inlineStr">
        <is>
          <t>Number</t>
        </is>
      </c>
      <c r="D49" s="42" t="inlineStr">
        <is>
          <t>DERIVED</t>
        </is>
      </c>
      <c r="E49" s="32">
        <f>sell_price * refund_rate</f>
        <v/>
      </c>
      <c r="F49" s="23" t="inlineStr">
        <is>
          <t>0.105</t>
        </is>
      </c>
      <c r="G49" s="24" t="inlineStr">
        <is>
          <t>Yes</t>
        </is>
      </c>
      <c r="H49" s="25" t="inlineStr">
        <is>
          <t>Hidden cost</t>
        </is>
      </c>
    </row>
    <row r="50" ht="28" customHeight="1">
      <c r="A50" s="26" t="inlineStr">
        <is>
          <t>pricing_features</t>
        </is>
      </c>
      <c r="B50" s="41" t="inlineStr">
        <is>
          <t>true_margin</t>
        </is>
      </c>
      <c r="C50" s="21" t="inlineStr">
        <is>
          <t>Number</t>
        </is>
      </c>
      <c r="D50" s="42" t="inlineStr">
        <is>
          <t>DERIVED</t>
        </is>
      </c>
      <c r="E50" s="32">
        <f>gross_margin - refund_cost - support_cost</f>
        <v/>
      </c>
      <c r="F50" s="23" t="inlineStr">
        <is>
          <t>0.035</t>
        </is>
      </c>
      <c r="G50" s="24" t="inlineStr">
        <is>
          <t>Yes</t>
        </is>
      </c>
      <c r="H50" s="43" t="inlineStr">
        <is>
          <t>★ Most important margin metric</t>
        </is>
      </c>
    </row>
    <row r="51" ht="28" customHeight="1">
      <c r="A51" s="30" t="inlineStr">
        <is>
          <t>pricing_features</t>
        </is>
      </c>
      <c r="B51" s="41" t="inlineStr">
        <is>
          <t>price_gap_vs_competitor</t>
        </is>
      </c>
      <c r="C51" s="20" t="inlineStr">
        <is>
          <t>Number</t>
        </is>
      </c>
      <c r="D51" s="42" t="inlineStr">
        <is>
          <t>DERIVED</t>
        </is>
      </c>
      <c r="E51" s="32">
        <f>sell_price - competitor_price (+ve = overpriced)</f>
        <v/>
      </c>
      <c r="F51" s="23" t="inlineStr">
        <is>
          <t>0.05</t>
        </is>
      </c>
      <c r="G51" s="24" t="inlineStr">
        <is>
          <t>Yes</t>
        </is>
      </c>
      <c r="H51" s="44" t="inlineStr">
        <is>
          <t>★ Competitive risk indicator</t>
        </is>
      </c>
    </row>
    <row r="52" ht="28" customHeight="1">
      <c r="A52" s="18" t="inlineStr">
        <is>
          <t>pricing_simulator</t>
        </is>
      </c>
      <c r="B52" s="27" t="inlineStr">
        <is>
          <t>price_change_pct</t>
        </is>
      </c>
      <c r="C52" s="21" t="inlineStr">
        <is>
          <t>Number</t>
        </is>
      </c>
      <c r="D52" s="34" t="inlineStr">
        <is>
          <t>Assumption</t>
        </is>
      </c>
      <c r="E52" s="32" t="inlineStr">
        <is>
          <t>Assumed price change (e.g. 0.05 = +5%)</t>
        </is>
      </c>
      <c r="F52" s="23" t="inlineStr">
        <is>
          <t>0.05</t>
        </is>
      </c>
      <c r="G52" s="24" t="inlineStr">
        <is>
          <t>Yes</t>
        </is>
      </c>
      <c r="H52" s="29" t="inlineStr">
        <is>
          <t>Input variable for simulation</t>
        </is>
      </c>
    </row>
    <row r="53" ht="28" customHeight="1">
      <c r="A53" s="30" t="inlineStr">
        <is>
          <t>pricing_simulator</t>
        </is>
      </c>
      <c r="B53" s="41" t="inlineStr">
        <is>
          <t>simulated_price</t>
        </is>
      </c>
      <c r="C53" s="20" t="inlineStr">
        <is>
          <t>Number</t>
        </is>
      </c>
      <c r="D53" s="42" t="inlineStr">
        <is>
          <t>DERIVED</t>
        </is>
      </c>
      <c r="E53" s="32">
        <f>sell_price * (1 + price_change_pct)</f>
        <v/>
      </c>
      <c r="F53" s="23" t="inlineStr">
        <is>
          <t>5.25</t>
        </is>
      </c>
      <c r="G53" s="24" t="inlineStr">
        <is>
          <t>Yes</t>
        </is>
      </c>
      <c r="H53" s="25" t="inlineStr"/>
    </row>
    <row r="54" ht="28" customHeight="1">
      <c r="A54" s="26" t="inlineStr">
        <is>
          <t>pricing_simulator</t>
        </is>
      </c>
      <c r="B54" s="41" t="inlineStr">
        <is>
          <t>demand_drop_pct</t>
        </is>
      </c>
      <c r="C54" s="21" t="inlineStr">
        <is>
          <t>Number</t>
        </is>
      </c>
      <c r="D54" s="42" t="inlineStr">
        <is>
          <t>DERIVED</t>
        </is>
      </c>
      <c r="E54" s="32">
        <f>price_sensitivity * price_change_pct</f>
        <v/>
      </c>
      <c r="F54" s="23" t="inlineStr">
        <is>
          <t>0.015</t>
        </is>
      </c>
      <c r="G54" s="24" t="inlineStr">
        <is>
          <t>Yes</t>
        </is>
      </c>
      <c r="H54" s="29" t="inlineStr">
        <is>
          <t>Simplified elasticity model</t>
        </is>
      </c>
    </row>
    <row r="55" ht="28" customHeight="1">
      <c r="A55" s="30" t="inlineStr">
        <is>
          <t>pricing_simulator</t>
        </is>
      </c>
      <c r="B55" s="41" t="inlineStr">
        <is>
          <t>demand_multiplier</t>
        </is>
      </c>
      <c r="C55" s="20" t="inlineStr">
        <is>
          <t>Number</t>
        </is>
      </c>
      <c r="D55" s="42" t="inlineStr">
        <is>
          <t>DERIVED</t>
        </is>
      </c>
      <c r="E55" s="32">
        <f>1 - demand_drop_pct</f>
        <v/>
      </c>
      <c r="F55" s="23" t="inlineStr">
        <is>
          <t>0.985</t>
        </is>
      </c>
      <c r="G55" s="24" t="inlineStr">
        <is>
          <t>Yes</t>
        </is>
      </c>
      <c r="H55" s="25" t="inlineStr"/>
    </row>
    <row r="56" ht="28" customHeight="1">
      <c r="A56" s="26" t="inlineStr">
        <is>
          <t>pricing_simulator</t>
        </is>
      </c>
      <c r="B56" s="41" t="inlineStr">
        <is>
          <t>simulated_margin</t>
        </is>
      </c>
      <c r="C56" s="21" t="inlineStr">
        <is>
          <t>Number</t>
        </is>
      </c>
      <c r="D56" s="42" t="inlineStr">
        <is>
          <t>DERIVED</t>
        </is>
      </c>
      <c r="E56" s="32">
        <f>simulated_price - supplier_cost - refund_cost - support_cost</f>
        <v/>
      </c>
      <c r="F56" s="23" t="inlineStr">
        <is>
          <t>0.285</t>
        </is>
      </c>
      <c r="G56" s="24" t="inlineStr">
        <is>
          <t>Yes</t>
        </is>
      </c>
      <c r="H56" s="29" t="inlineStr"/>
    </row>
    <row r="57" ht="28" customHeight="1">
      <c r="A57" s="30" t="inlineStr">
        <is>
          <t>pricing_simulator</t>
        </is>
      </c>
      <c r="B57" s="41" t="inlineStr">
        <is>
          <t>simulated_profit_index</t>
        </is>
      </c>
      <c r="C57" s="20" t="inlineStr">
        <is>
          <t>Number</t>
        </is>
      </c>
      <c r="D57" s="42" t="inlineStr">
        <is>
          <t>DERIVED</t>
        </is>
      </c>
      <c r="E57" s="32">
        <f>simulated_margin * demand_multiplier</f>
        <v/>
      </c>
      <c r="F57" s="23" t="inlineStr">
        <is>
          <t>0.281</t>
        </is>
      </c>
      <c r="G57" s="24" t="inlineStr">
        <is>
          <t>Yes</t>
        </is>
      </c>
      <c r="H57" s="44" t="inlineStr">
        <is>
          <t>★★ Composite opportunity score</t>
        </is>
      </c>
    </row>
    <row r="58" ht="28" customHeight="1">
      <c r="A58" s="18" t="inlineStr">
        <is>
          <t>ai_query_view</t>
        </is>
      </c>
      <c r="B58" s="27" t="inlineStr">
        <is>
          <t>sku_id</t>
        </is>
      </c>
      <c r="C58" s="21" t="inlineStr">
        <is>
          <t>Text</t>
        </is>
      </c>
      <c r="D58" s="31" t="inlineStr">
        <is>
          <t>From sku_master</t>
        </is>
      </c>
      <c r="E58" s="28" t="inlineStr">
        <is>
          <t>SKU identifier</t>
        </is>
      </c>
      <c r="F58" s="23" t="inlineStr">
        <is>
          <t>Steam_5.0_US</t>
        </is>
      </c>
      <c r="G58" s="24" t="inlineStr">
        <is>
          <t>Yes</t>
        </is>
      </c>
      <c r="H58" s="29" t="inlineStr"/>
    </row>
    <row r="59" ht="28" customHeight="1">
      <c r="A59" s="30" t="inlineStr">
        <is>
          <t>ai_query_view</t>
        </is>
      </c>
      <c r="B59" s="19" t="inlineStr">
        <is>
          <t>supplier_name</t>
        </is>
      </c>
      <c r="C59" s="20" t="inlineStr">
        <is>
          <t>Text</t>
        </is>
      </c>
      <c r="D59" s="31" t="inlineStr">
        <is>
          <t>From supplier_offers</t>
        </is>
      </c>
      <c r="E59" s="22" t="inlineStr">
        <is>
          <t>Supplier name</t>
        </is>
      </c>
      <c r="F59" s="23" t="inlineStr">
        <is>
          <t>Supplier_Atlas</t>
        </is>
      </c>
      <c r="G59" s="24" t="inlineStr">
        <is>
          <t>Yes</t>
        </is>
      </c>
      <c r="H59" s="25" t="inlineStr"/>
    </row>
    <row r="60" ht="28" customHeight="1">
      <c r="A60" s="26" t="inlineStr">
        <is>
          <t>ai_query_view</t>
        </is>
      </c>
      <c r="B60" s="27" t="inlineStr">
        <is>
          <t>sell_price</t>
        </is>
      </c>
      <c r="C60" s="21" t="inlineStr">
        <is>
          <t>Number</t>
        </is>
      </c>
      <c r="D60" s="31" t="inlineStr">
        <is>
          <t>From market_signals</t>
        </is>
      </c>
      <c r="E60" s="28" t="inlineStr">
        <is>
          <t>Current selling price</t>
        </is>
      </c>
      <c r="F60" s="23" t="inlineStr">
        <is>
          <t>5.00</t>
        </is>
      </c>
      <c r="G60" s="24" t="inlineStr">
        <is>
          <t>Yes</t>
        </is>
      </c>
      <c r="H60" s="29" t="inlineStr"/>
    </row>
    <row r="61" ht="28" customHeight="1">
      <c r="A61" s="30" t="inlineStr">
        <is>
          <t>ai_query_view</t>
        </is>
      </c>
      <c r="B61" s="19" t="inlineStr">
        <is>
          <t>supplier_cost</t>
        </is>
      </c>
      <c r="C61" s="20" t="inlineStr">
        <is>
          <t>Number</t>
        </is>
      </c>
      <c r="D61" s="31" t="inlineStr">
        <is>
          <t>From supplier_offers</t>
        </is>
      </c>
      <c r="E61" s="22" t="inlineStr">
        <is>
          <t>Supplier cost</t>
        </is>
      </c>
      <c r="F61" s="23" t="inlineStr">
        <is>
          <t>4.727</t>
        </is>
      </c>
      <c r="G61" s="24" t="inlineStr">
        <is>
          <t>Yes</t>
        </is>
      </c>
      <c r="H61" s="25" t="inlineStr"/>
    </row>
    <row r="62" ht="28" customHeight="1">
      <c r="A62" s="26" t="inlineStr">
        <is>
          <t>ai_query_view</t>
        </is>
      </c>
      <c r="B62" s="27" t="inlineStr">
        <is>
          <t>competitor_price</t>
        </is>
      </c>
      <c r="C62" s="21" t="inlineStr">
        <is>
          <t>Number</t>
        </is>
      </c>
      <c r="D62" s="31" t="inlineStr">
        <is>
          <t>From market_signals</t>
        </is>
      </c>
      <c r="E62" s="28" t="inlineStr">
        <is>
          <t>Market benchmark</t>
        </is>
      </c>
      <c r="F62" s="23" t="inlineStr">
        <is>
          <t>4.95</t>
        </is>
      </c>
      <c r="G62" s="24" t="inlineStr">
        <is>
          <t>Yes</t>
        </is>
      </c>
      <c r="H62" s="29" t="inlineStr"/>
    </row>
    <row r="63" ht="28" customHeight="1">
      <c r="A63" s="30" t="inlineStr">
        <is>
          <t>ai_query_view</t>
        </is>
      </c>
      <c r="B63" s="19" t="inlineStr">
        <is>
          <t>true_margin</t>
        </is>
      </c>
      <c r="C63" s="20" t="inlineStr">
        <is>
          <t>Number</t>
        </is>
      </c>
      <c r="D63" s="31" t="inlineStr">
        <is>
          <t>From pricing_features</t>
        </is>
      </c>
      <c r="E63" s="22" t="inlineStr">
        <is>
          <t>Net margin after all costs</t>
        </is>
      </c>
      <c r="F63" s="23" t="inlineStr">
        <is>
          <t>0.035</t>
        </is>
      </c>
      <c r="G63" s="24" t="inlineStr">
        <is>
          <t>Yes</t>
        </is>
      </c>
      <c r="H63" s="44" t="inlineStr">
        <is>
          <t>★</t>
        </is>
      </c>
    </row>
    <row r="64" ht="28" customHeight="1">
      <c r="A64" s="26" t="inlineStr">
        <is>
          <t>ai_query_view</t>
        </is>
      </c>
      <c r="B64" s="27" t="inlineStr">
        <is>
          <t>price_gap_vs_competitor</t>
        </is>
      </c>
      <c r="C64" s="21" t="inlineStr">
        <is>
          <t>Number</t>
        </is>
      </c>
      <c r="D64" s="31" t="inlineStr">
        <is>
          <t>From pricing_features</t>
        </is>
      </c>
      <c r="E64" s="28" t="inlineStr">
        <is>
          <t>sell_price - competitor_price</t>
        </is>
      </c>
      <c r="F64" s="23" t="inlineStr">
        <is>
          <t>0.05</t>
        </is>
      </c>
      <c r="G64" s="24" t="inlineStr">
        <is>
          <t>Yes</t>
        </is>
      </c>
      <c r="H64" s="43" t="inlineStr">
        <is>
          <t>★</t>
        </is>
      </c>
    </row>
    <row r="65" ht="28" customHeight="1">
      <c r="A65" s="30" t="inlineStr">
        <is>
          <t>ai_query_view</t>
        </is>
      </c>
      <c r="B65" s="19" t="inlineStr">
        <is>
          <t>price_sensitivity</t>
        </is>
      </c>
      <c r="C65" s="20" t="inlineStr">
        <is>
          <t>Number</t>
        </is>
      </c>
      <c r="D65" s="31" t="inlineStr">
        <is>
          <t>From market_signals</t>
        </is>
      </c>
      <c r="E65" s="22" t="inlineStr">
        <is>
          <t>Demand elasticity 0–1</t>
        </is>
      </c>
      <c r="F65" s="23" t="inlineStr">
        <is>
          <t>0.30</t>
        </is>
      </c>
      <c r="G65" s="24" t="inlineStr">
        <is>
          <t>Yes</t>
        </is>
      </c>
      <c r="H65" s="44" t="inlineStr">
        <is>
          <t>★</t>
        </is>
      </c>
    </row>
    <row r="66" ht="28" customHeight="1">
      <c r="A66" s="26" t="inlineStr">
        <is>
          <t>ai_query_view</t>
        </is>
      </c>
      <c r="B66" s="27" t="inlineStr">
        <is>
          <t>price_change_pct</t>
        </is>
      </c>
      <c r="C66" s="21" t="inlineStr">
        <is>
          <t>Number</t>
        </is>
      </c>
      <c r="D66" s="31" t="inlineStr">
        <is>
          <t>From pricing_simulator</t>
        </is>
      </c>
      <c r="E66" s="28" t="inlineStr">
        <is>
          <t>Assumed price change</t>
        </is>
      </c>
      <c r="F66" s="23" t="inlineStr">
        <is>
          <t>0.05</t>
        </is>
      </c>
      <c r="G66" s="24" t="inlineStr">
        <is>
          <t>Yes</t>
        </is>
      </c>
      <c r="H66" s="29" t="inlineStr"/>
    </row>
    <row r="67" ht="28" customHeight="1">
      <c r="A67" s="30" t="inlineStr">
        <is>
          <t>ai_query_view</t>
        </is>
      </c>
      <c r="B67" s="19" t="inlineStr">
        <is>
          <t>demand_drop_pct</t>
        </is>
      </c>
      <c r="C67" s="20" t="inlineStr">
        <is>
          <t>Number</t>
        </is>
      </c>
      <c r="D67" s="31" t="inlineStr">
        <is>
          <t>From pricing_simulator</t>
        </is>
      </c>
      <c r="E67" s="22" t="inlineStr">
        <is>
          <t>Estimated demand loss</t>
        </is>
      </c>
      <c r="F67" s="23" t="inlineStr">
        <is>
          <t>0.015</t>
        </is>
      </c>
      <c r="G67" s="24" t="inlineStr">
        <is>
          <t>Yes</t>
        </is>
      </c>
      <c r="H67" s="25" t="inlineStr"/>
    </row>
    <row r="68" ht="28" customHeight="1">
      <c r="A68" s="26" t="inlineStr">
        <is>
          <t>ai_query_view</t>
        </is>
      </c>
      <c r="B68" s="27" t="inlineStr">
        <is>
          <t>simulated_profit_index</t>
        </is>
      </c>
      <c r="C68" s="21" t="inlineStr">
        <is>
          <t>Number</t>
        </is>
      </c>
      <c r="D68" s="31" t="inlineStr">
        <is>
          <t>From pricing_simulator</t>
        </is>
      </c>
      <c r="E68" s="28" t="inlineStr">
        <is>
          <t>★★ Key composite score</t>
        </is>
      </c>
      <c r="F68" s="23" t="inlineStr">
        <is>
          <t>0.281</t>
        </is>
      </c>
      <c r="G68" s="24" t="inlineStr">
        <is>
          <t>Yes</t>
        </is>
      </c>
      <c r="H68" s="29" t="inlineStr">
        <is>
          <t>Most important AI analysis field</t>
        </is>
      </c>
    </row>
    <row r="71" ht="22" customHeight="1">
      <c r="A71" s="45" t="inlineStr">
        <is>
          <t>LEGEND</t>
        </is>
      </c>
    </row>
    <row r="72" ht="18" customHeight="1">
      <c r="A72" s="46" t="inlineStr">
        <is>
          <t>Green background = DERIVED field (auto-calculated from other columns)</t>
        </is>
      </c>
    </row>
    <row r="73" ht="18" customHeight="1">
      <c r="A73" s="47" t="inlineStr">
        <is>
          <t>Amber background = ESTIMATE field (requires research or approximation)</t>
        </is>
      </c>
    </row>
    <row r="74" ht="18" customHeight="1">
      <c r="A74" s="48" t="inlineStr">
        <is>
          <t>Blue formula text = Contains an Excel formula</t>
        </is>
      </c>
    </row>
    <row r="75" ht="18" customHeight="1">
      <c r="A75" s="47" t="inlineStr">
        <is>
          <t>[ESTIMATE] in Notes = May not be available from raw data — use best estimate</t>
        </is>
      </c>
    </row>
    <row r="76" ht="18" customHeight="1">
      <c r="A76" s="49" t="inlineStr">
        <is>
          <t>★ in Notes = Critically important for AI analysis</t>
        </is>
      </c>
    </row>
  </sheetData>
  <mergeCells count="8">
    <mergeCell ref="A73:H73"/>
    <mergeCell ref="A71:H71"/>
    <mergeCell ref="A2:H2"/>
    <mergeCell ref="A72:H72"/>
    <mergeCell ref="A76:H76"/>
    <mergeCell ref="A1:H1"/>
    <mergeCell ref="A75:H75"/>
    <mergeCell ref="A74:H74"/>
  </mergeCells>
  <pageMargins left="0.75" right="0.75" top="1" bottom="1" header="0.5" footer="0.5"/>
</worksheet>
</file>

<file path=xl/worksheets/sheet3.xml><?xml version="1.0" encoding="utf-8"?>
<worksheet xmlns="http://schemas.openxmlformats.org/spreadsheetml/2006/main">
  <sheetPr>
    <tabColor rgb="001A3A6B"/>
    <outlinePr summaryBelow="1" summaryRight="1"/>
    <pageSetUpPr/>
  </sheetPr>
  <dimension ref="A1:B3"/>
  <sheetViews>
    <sheetView showGridLines="0" workbookViewId="0">
      <selection activeCell="A1" sqref="A1"/>
    </sheetView>
  </sheetViews>
  <sheetFormatPr baseColWidth="8" defaultRowHeight="15"/>
  <cols>
    <col width="110" customWidth="1" min="1" max="1"/>
    <col width="20" customWidth="1" min="2" max="2"/>
  </cols>
  <sheetData>
    <row r="1" ht="40" customHeight="1">
      <c r="A1" s="50" t="inlineStr">
        <is>
          <t>BUSINESS_PROMPT — Default AI System Context</t>
        </is>
      </c>
    </row>
    <row r="2" ht="400" customHeight="1">
      <c r="A2" s="51" t="inlineStr">
        <is>
          <t>You are PriceIQ, an expert AI pricing analyst for a B2B digital voucher and gift card marketplace.
BUSINESS CONTEXT:
- This business is a marketplace intermediary between digital content suppliers and B2B clients (resellers, enterprises, platforms).
- Products include: prepaid vouchers, gift cards, gaming credits, mobile top-ups, digital subscriptions.
- The business sources SKUs from multiple suppliers and sells at a margin to B2B clients.
- Pricing decisions are constrained by: supplier costs, competitor benchmarks, demand sensitivity, and refund risk.
KEY METRICS YOU MUST UNDERSTAND:
- gross_margin = sell_price - supplier_cost
- refund_cost = sell_price × refund_rate
- true_margin = gross_margin - refund_cost - support_cost
- price_gap_vs_competitor = sell_price - competitor_price  [positive = we are MORE expensive than market]
- demand_drop_pct = price_sensitivity × price_change_pct  [simplified elasticity]
- demand_multiplier = 1 - demand_drop_pct
- simulated_price = sell_price × (1 + price_change_pct)
- simulated_margin = simulated_price - supplier_cost - refund_cost - support_cost
- simulated_profit_index = simulated_margin × demand_multiplier  [★ key composite score]
DATA QUALITY CAVEAT:
Some columns may contain estimated or simulated values rather than live business data.
Fields most likely to be estimates: competitor_price, price_sensitivity, refund_rate, support_cost, reliability_score.
Always acknowledge this caveat when it affects your confidence in a recommendation.
YOUR RESPONSIBILITIES:
1. Identify pricing opportunities (SKUs where price can increase with minimal demand impact)
2. Flag competitive risks (SKUs priced above market)
3. Identify margin traps (SKUs with positive gross margin but negative or near-zero true margin)
4. Rank supplier options by risk-adjusted value
5. Highlight high-refund-risk SKUs that need operational attention
6. Suggest price changes with supporting rationale and quantified impact
RESPONSE FORMAT:
Always structure your response as:
  SUMMARY: 2-3 sentence overview
  TOP RECOMMENDATIONS: Numbered list, most impactful first, with specific SKU names and numbers
  KEY METRICS: Relevant data points cited
  CAVEATS: Any data assumptions or limitations affecting your confidence</t>
        </is>
      </c>
    </row>
    <row r="3" ht="22" customHeight="1">
      <c r="A3" s="52" t="inlineStr">
        <is>
          <t>↑ This prompt is read automatically by PriceIQ when you upload this workbook. Edit it to match your specific business context.</t>
        </is>
      </c>
    </row>
  </sheetData>
  <mergeCells count="1">
    <mergeCell ref="A1:B1"/>
  </mergeCells>
  <pageMargins left="0.75" right="0.75" top="1" bottom="1" header="0.5" footer="0.5"/>
</worksheet>
</file>

<file path=xl/worksheets/sheet4.xml><?xml version="1.0" encoding="utf-8"?>
<worksheet xmlns="http://schemas.openxmlformats.org/spreadsheetml/2006/main">
  <sheetPr>
    <tabColor rgb="007C786E"/>
    <outlinePr summaryBelow="1" summaryRight="1"/>
    <pageSetUpPr/>
  </sheetPr>
  <dimension ref="A1:O24"/>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6" customWidth="1" min="4" max="4"/>
    <col width="26" customWidth="1" min="5" max="5"/>
    <col width="14" customWidth="1" min="6" max="6"/>
    <col width="16" customWidth="1" min="7" max="7"/>
    <col width="14" customWidth="1" min="8" max="8"/>
    <col width="14" customWidth="1" min="9" max="9"/>
    <col width="12" customWidth="1" min="10" max="10"/>
    <col width="10" customWidth="1" min="11" max="11"/>
    <col width="26" customWidth="1" min="12" max="12"/>
    <col width="8" customWidth="1" min="13" max="13"/>
    <col width="12" customWidth="1" min="14" max="14"/>
    <col width="14" customWidth="1" min="15" max="15"/>
  </cols>
  <sheetData>
    <row r="1" ht="38" customHeight="1">
      <c r="A1" s="50" t="inlineStr">
        <is>
          <t>orders_fact</t>
        </is>
      </c>
    </row>
    <row r="2" ht="24" customHeight="1">
      <c r="A2" s="17" t="inlineStr">
        <is>
          <t>Transaction-level order history. Each row = one order. Most granular data layer.</t>
        </is>
      </c>
    </row>
    <row r="3" ht="8" customHeight="1"/>
    <row r="4">
      <c r="A4" s="3" t="inlineStr">
        <is>
          <t>order_id</t>
        </is>
      </c>
      <c r="B4" s="3" t="inlineStr">
        <is>
          <t>client_name</t>
        </is>
      </c>
      <c r="C4" s="3" t="inlineStr">
        <is>
          <t>order_date</t>
        </is>
      </c>
      <c r="D4" s="3" t="inlineStr">
        <is>
          <t>brand</t>
        </is>
      </c>
      <c r="E4" s="3" t="inlineStr">
        <is>
          <t>product_name</t>
        </is>
      </c>
      <c r="F4" s="3" t="inlineStr">
        <is>
          <t>denomination</t>
        </is>
      </c>
      <c r="G4" s="3" t="inlineStr">
        <is>
          <t>supplier_name</t>
        </is>
      </c>
      <c r="H4" s="3" t="inlineStr">
        <is>
          <t>supplier_price</t>
        </is>
      </c>
      <c r="I4" s="3" t="inlineStr">
        <is>
          <t>order_status</t>
        </is>
      </c>
      <c r="J4" s="3" t="inlineStr">
        <is>
          <t>countrycode</t>
        </is>
      </c>
      <c r="K4" s="3" t="inlineStr">
        <is>
          <t>currencycode</t>
        </is>
      </c>
      <c r="L4" s="53" t="inlineStr">
        <is>
          <t>sku_id</t>
        </is>
      </c>
      <c r="M4" s="53" t="inlineStr">
        <is>
          <t>units</t>
        </is>
      </c>
      <c r="N4" s="53" t="inlineStr">
        <is>
          <t>sell_price</t>
        </is>
      </c>
      <c r="O4" s="53" t="inlineStr">
        <is>
          <t>supplier_cost</t>
        </is>
      </c>
    </row>
    <row r="5" ht="20" customHeight="1">
      <c r="A5" s="54" t="n">
        <v>11610000</v>
      </c>
      <c r="B5" s="55" t="inlineStr">
        <is>
          <t>Client_006</t>
        </is>
      </c>
      <c r="C5" s="55" t="inlineStr">
        <is>
          <t>2025-01-15</t>
        </is>
      </c>
      <c r="D5" s="55" t="inlineStr">
        <is>
          <t>Steam</t>
        </is>
      </c>
      <c r="E5" s="55" t="inlineStr">
        <is>
          <t>Steam US 5 USD</t>
        </is>
      </c>
      <c r="F5" s="56" t="n">
        <v>5</v>
      </c>
      <c r="G5" s="55" t="inlineStr">
        <is>
          <t>Supplier_Atlas</t>
        </is>
      </c>
      <c r="H5" s="56" t="n">
        <v>4.719</v>
      </c>
      <c r="I5" s="55" t="inlineStr">
        <is>
          <t>Succeeded</t>
        </is>
      </c>
      <c r="J5" s="55" t="inlineStr">
        <is>
          <t>US</t>
        </is>
      </c>
      <c r="K5" s="55" t="inlineStr">
        <is>
          <t>USD</t>
        </is>
      </c>
      <c r="L5" s="57" t="inlineStr">
        <is>
          <t>Steam_5.0_US</t>
        </is>
      </c>
      <c r="M5" s="58" t="n">
        <v>1</v>
      </c>
      <c r="N5" s="59" t="n">
        <v>5</v>
      </c>
      <c r="O5" s="59" t="n">
        <v>4.727</v>
      </c>
    </row>
    <row r="6" ht="20" customHeight="1">
      <c r="A6" s="60" t="n">
        <v>11610001</v>
      </c>
      <c r="B6" s="61" t="inlineStr">
        <is>
          <t>Client_006</t>
        </is>
      </c>
      <c r="C6" s="61" t="inlineStr">
        <is>
          <t>2025-01-18</t>
        </is>
      </c>
      <c r="D6" s="61" t="inlineStr">
        <is>
          <t>Google Play</t>
        </is>
      </c>
      <c r="E6" s="61" t="inlineStr">
        <is>
          <t>Google Play MENA 10 USD</t>
        </is>
      </c>
      <c r="F6" s="62" t="n">
        <v>10</v>
      </c>
      <c r="G6" s="61" t="inlineStr">
        <is>
          <t>Supplier_Omega</t>
        </is>
      </c>
      <c r="H6" s="62" t="n">
        <v>9.196</v>
      </c>
      <c r="I6" s="61" t="inlineStr">
        <is>
          <t>Succeeded</t>
        </is>
      </c>
      <c r="J6" s="61" t="inlineStr">
        <is>
          <t>MENA</t>
        </is>
      </c>
      <c r="K6" s="61" t="inlineStr">
        <is>
          <t>USD</t>
        </is>
      </c>
      <c r="L6" s="57" t="inlineStr">
        <is>
          <t>Google Play_10.0_MENA</t>
        </is>
      </c>
      <c r="M6" s="58" t="n">
        <v>1</v>
      </c>
      <c r="N6" s="59" t="n">
        <v>10</v>
      </c>
      <c r="O6" s="59" t="n">
        <v>9.199999999999999</v>
      </c>
    </row>
    <row r="7" ht="20" customHeight="1">
      <c r="A7" s="54" t="n">
        <v>11610002</v>
      </c>
      <c r="B7" s="55" t="inlineStr">
        <is>
          <t>Client_002</t>
        </is>
      </c>
      <c r="C7" s="55" t="inlineStr">
        <is>
          <t>2025-01-22</t>
        </is>
      </c>
      <c r="D7" s="55" t="inlineStr">
        <is>
          <t>iTunes</t>
        </is>
      </c>
      <c r="E7" s="55" t="inlineStr">
        <is>
          <t>iTunes EU 25 USD</t>
        </is>
      </c>
      <c r="F7" s="56" t="n">
        <v>25</v>
      </c>
      <c r="G7" s="55" t="inlineStr">
        <is>
          <t>Supplier_Titan</t>
        </is>
      </c>
      <c r="H7" s="56" t="n">
        <v>22.093</v>
      </c>
      <c r="I7" s="55" t="inlineStr">
        <is>
          <t>Succeeded</t>
        </is>
      </c>
      <c r="J7" s="55" t="inlineStr">
        <is>
          <t>EU</t>
        </is>
      </c>
      <c r="K7" s="55" t="inlineStr">
        <is>
          <t>USD</t>
        </is>
      </c>
      <c r="L7" s="57" t="inlineStr">
        <is>
          <t>iTunes_25.0_EU</t>
        </is>
      </c>
      <c r="M7" s="58" t="n">
        <v>1</v>
      </c>
      <c r="N7" s="59" t="n">
        <v>25</v>
      </c>
      <c r="O7" s="59" t="n">
        <v>22.1</v>
      </c>
    </row>
    <row r="8" ht="20" customHeight="1">
      <c r="A8" s="60" t="n">
        <v>11610003</v>
      </c>
      <c r="B8" s="61" t="inlineStr">
        <is>
          <t>Client_001</t>
        </is>
      </c>
      <c r="C8" s="61" t="inlineStr">
        <is>
          <t>2025-02-03</t>
        </is>
      </c>
      <c r="D8" s="61" t="inlineStr">
        <is>
          <t>Amazon</t>
        </is>
      </c>
      <c r="E8" s="61" t="inlineStr">
        <is>
          <t>Amazon US 50 USD</t>
        </is>
      </c>
      <c r="F8" s="62" t="n">
        <v>50</v>
      </c>
      <c r="G8" s="61" t="inlineStr">
        <is>
          <t>Supplier_Nova</t>
        </is>
      </c>
      <c r="H8" s="62" t="n">
        <v>47.504</v>
      </c>
      <c r="I8" s="61" t="inlineStr">
        <is>
          <t>Succeeded</t>
        </is>
      </c>
      <c r="J8" s="61" t="inlineStr">
        <is>
          <t>US</t>
        </is>
      </c>
      <c r="K8" s="61" t="inlineStr">
        <is>
          <t>USD</t>
        </is>
      </c>
      <c r="L8" s="57" t="inlineStr">
        <is>
          <t>Amazon_50.0_US</t>
        </is>
      </c>
      <c r="M8" s="58" t="n">
        <v>1</v>
      </c>
      <c r="N8" s="59" t="n">
        <v>50</v>
      </c>
      <c r="O8" s="59" t="n">
        <v>47.5</v>
      </c>
    </row>
    <row r="9" ht="20" customHeight="1">
      <c r="A9" s="54" t="n">
        <v>11610004</v>
      </c>
      <c r="B9" s="55" t="inlineStr">
        <is>
          <t>Client_005</t>
        </is>
      </c>
      <c r="C9" s="55" t="inlineStr">
        <is>
          <t>2025-02-14</t>
        </is>
      </c>
      <c r="D9" s="55" t="inlineStr">
        <is>
          <t>PlayStation</t>
        </is>
      </c>
      <c r="E9" s="55" t="inlineStr">
        <is>
          <t>PlayStation MENA 20 USD</t>
        </is>
      </c>
      <c r="F9" s="56" t="n">
        <v>20</v>
      </c>
      <c r="G9" s="55" t="inlineStr">
        <is>
          <t>Supplier_Atlas</t>
        </is>
      </c>
      <c r="H9" s="56" t="n">
        <v>17.792</v>
      </c>
      <c r="I9" s="55" t="inlineStr">
        <is>
          <t>Succeeded</t>
        </is>
      </c>
      <c r="J9" s="55" t="inlineStr">
        <is>
          <t>MENA</t>
        </is>
      </c>
      <c r="K9" s="55" t="inlineStr">
        <is>
          <t>USD</t>
        </is>
      </c>
      <c r="L9" s="57" t="inlineStr">
        <is>
          <t>PlayStation_20.0_MENA</t>
        </is>
      </c>
      <c r="M9" s="58" t="n">
        <v>1</v>
      </c>
      <c r="N9" s="59" t="n">
        <v>20</v>
      </c>
      <c r="O9" s="59" t="n">
        <v>17.8</v>
      </c>
    </row>
    <row r="10" ht="20" customHeight="1">
      <c r="A10" s="60" t="n">
        <v>11610005</v>
      </c>
      <c r="B10" s="61" t="inlineStr">
        <is>
          <t>Client_004</t>
        </is>
      </c>
      <c r="C10" s="61" t="inlineStr">
        <is>
          <t>2025-02-28</t>
        </is>
      </c>
      <c r="D10" s="61" t="inlineStr">
        <is>
          <t>Netflix</t>
        </is>
      </c>
      <c r="E10" s="61" t="inlineStr">
        <is>
          <t>Netflix APAC 15 USD</t>
        </is>
      </c>
      <c r="F10" s="62" t="n">
        <v>15</v>
      </c>
      <c r="G10" s="61" t="inlineStr">
        <is>
          <t>Supplier_Prism</t>
        </is>
      </c>
      <c r="H10" s="62" t="n">
        <v>13.091</v>
      </c>
      <c r="I10" s="61" t="inlineStr">
        <is>
          <t>Succeeded</t>
        </is>
      </c>
      <c r="J10" s="61" t="inlineStr">
        <is>
          <t>APAC</t>
        </is>
      </c>
      <c r="K10" s="61" t="inlineStr">
        <is>
          <t>USD</t>
        </is>
      </c>
      <c r="L10" s="57" t="inlineStr">
        <is>
          <t>Netflix_15.0_APAC</t>
        </is>
      </c>
      <c r="M10" s="58" t="n">
        <v>1</v>
      </c>
      <c r="N10" s="59" t="n">
        <v>15</v>
      </c>
      <c r="O10" s="59" t="n">
        <v>13.1</v>
      </c>
    </row>
    <row r="11" ht="20" customHeight="1">
      <c r="A11" s="54" t="n">
        <v>11610006</v>
      </c>
      <c r="B11" s="55" t="inlineStr">
        <is>
          <t>Client_001</t>
        </is>
      </c>
      <c r="C11" s="55" t="inlineStr">
        <is>
          <t>2025-03-05</t>
        </is>
      </c>
      <c r="D11" s="55" t="inlineStr">
        <is>
          <t>Roblox</t>
        </is>
      </c>
      <c r="E11" s="55" t="inlineStr">
        <is>
          <t>Roblox US 10 USD</t>
        </is>
      </c>
      <c r="F11" s="56" t="n">
        <v>10</v>
      </c>
      <c r="G11" s="55" t="inlineStr">
        <is>
          <t>Supplier_Omega</t>
        </is>
      </c>
      <c r="H11" s="56" t="n">
        <v>8.494</v>
      </c>
      <c r="I11" s="55" t="inlineStr">
        <is>
          <t>Succeeded</t>
        </is>
      </c>
      <c r="J11" s="55" t="inlineStr">
        <is>
          <t>US</t>
        </is>
      </c>
      <c r="K11" s="55" t="inlineStr">
        <is>
          <t>USD</t>
        </is>
      </c>
      <c r="L11" s="57" t="inlineStr">
        <is>
          <t>Roblox_10.0_US</t>
        </is>
      </c>
      <c r="M11" s="58" t="n">
        <v>1</v>
      </c>
      <c r="N11" s="59" t="n">
        <v>10</v>
      </c>
      <c r="O11" s="59" t="n">
        <v>8.5</v>
      </c>
    </row>
    <row r="12" ht="20" customHeight="1">
      <c r="A12" s="60" t="n">
        <v>11610007</v>
      </c>
      <c r="B12" s="61" t="inlineStr">
        <is>
          <t>Client_005</t>
        </is>
      </c>
      <c r="C12" s="61" t="inlineStr">
        <is>
          <t>2025-03-12</t>
        </is>
      </c>
      <c r="D12" s="61" t="inlineStr">
        <is>
          <t>Noon</t>
        </is>
      </c>
      <c r="E12" s="61" t="inlineStr">
        <is>
          <t>Noon MENA 100 USD</t>
        </is>
      </c>
      <c r="F12" s="62" t="n">
        <v>100</v>
      </c>
      <c r="G12" s="61" t="inlineStr">
        <is>
          <t>Supplier_Atlas</t>
        </is>
      </c>
      <c r="H12" s="62" t="n">
        <v>94.002</v>
      </c>
      <c r="I12" s="61" t="inlineStr">
        <is>
          <t>Succeeded</t>
        </is>
      </c>
      <c r="J12" s="61" t="inlineStr">
        <is>
          <t>MENA</t>
        </is>
      </c>
      <c r="K12" s="61" t="inlineStr">
        <is>
          <t>USD</t>
        </is>
      </c>
      <c r="L12" s="57" t="inlineStr">
        <is>
          <t>Noon_100.0_MENA</t>
        </is>
      </c>
      <c r="M12" s="58" t="n">
        <v>1</v>
      </c>
      <c r="N12" s="59" t="n">
        <v>100</v>
      </c>
      <c r="O12" s="59" t="n">
        <v>94</v>
      </c>
    </row>
    <row r="13" ht="20" customHeight="1">
      <c r="A13" s="54" t="n">
        <v>11610008</v>
      </c>
      <c r="B13" s="55" t="inlineStr">
        <is>
          <t>Client_005</t>
        </is>
      </c>
      <c r="C13" s="55" t="inlineStr">
        <is>
          <t>2025-03-19</t>
        </is>
      </c>
      <c r="D13" s="55" t="inlineStr">
        <is>
          <t>Etisalat</t>
        </is>
      </c>
      <c r="E13" s="55" t="inlineStr">
        <is>
          <t>Etisalat MENA 20 USD</t>
        </is>
      </c>
      <c r="F13" s="56" t="n">
        <v>20</v>
      </c>
      <c r="G13" s="55" t="inlineStr">
        <is>
          <t>Supplier_Nova</t>
        </is>
      </c>
      <c r="H13" s="56" t="n">
        <v>18.194</v>
      </c>
      <c r="I13" s="55" t="inlineStr">
        <is>
          <t>Succeeded</t>
        </is>
      </c>
      <c r="J13" s="55" t="inlineStr">
        <is>
          <t>MENA</t>
        </is>
      </c>
      <c r="K13" s="55" t="inlineStr">
        <is>
          <t>USD</t>
        </is>
      </c>
      <c r="L13" s="57" t="inlineStr">
        <is>
          <t>Etisalat_20.0_MENA</t>
        </is>
      </c>
      <c r="M13" s="58" t="n">
        <v>1</v>
      </c>
      <c r="N13" s="59" t="n">
        <v>20</v>
      </c>
      <c r="O13" s="59" t="n">
        <v>18.2</v>
      </c>
    </row>
    <row r="14" ht="20" customHeight="1">
      <c r="A14" s="60" t="n">
        <v>11610009</v>
      </c>
      <c r="B14" s="61" t="inlineStr">
        <is>
          <t>Client_006</t>
        </is>
      </c>
      <c r="C14" s="61" t="inlineStr">
        <is>
          <t>2025-03-25</t>
        </is>
      </c>
      <c r="D14" s="61" t="inlineStr">
        <is>
          <t>Spotify</t>
        </is>
      </c>
      <c r="E14" s="61" t="inlineStr">
        <is>
          <t>Spotify EU 10 USD</t>
        </is>
      </c>
      <c r="F14" s="62" t="n">
        <v>10</v>
      </c>
      <c r="G14" s="61" t="inlineStr">
        <is>
          <t>Supplier_Titan</t>
        </is>
      </c>
      <c r="H14" s="62" t="n">
        <v>8.804</v>
      </c>
      <c r="I14" s="61" t="inlineStr">
        <is>
          <t>Succeeded</t>
        </is>
      </c>
      <c r="J14" s="61" t="inlineStr">
        <is>
          <t>EU</t>
        </is>
      </c>
      <c r="K14" s="61" t="inlineStr">
        <is>
          <t>USD</t>
        </is>
      </c>
      <c r="L14" s="57" t="inlineStr">
        <is>
          <t>Spotify_10.0_EU</t>
        </is>
      </c>
      <c r="M14" s="58" t="n">
        <v>1</v>
      </c>
      <c r="N14" s="59" t="n">
        <v>10</v>
      </c>
      <c r="O14" s="59" t="n">
        <v>8.800000000000001</v>
      </c>
    </row>
    <row r="15" ht="20" customHeight="1">
      <c r="A15" s="54" t="n">
        <v>11610010</v>
      </c>
      <c r="B15" s="55" t="inlineStr">
        <is>
          <t>Client_004</t>
        </is>
      </c>
      <c r="C15" s="55" t="inlineStr">
        <is>
          <t>2025-04-02</t>
        </is>
      </c>
      <c r="D15" s="55" t="inlineStr">
        <is>
          <t>Steam</t>
        </is>
      </c>
      <c r="E15" s="55" t="inlineStr">
        <is>
          <t>Steam US 5 USD</t>
        </is>
      </c>
      <c r="F15" s="56" t="n">
        <v>5</v>
      </c>
      <c r="G15" s="55" t="inlineStr">
        <is>
          <t>Supplier_Atlas</t>
        </is>
      </c>
      <c r="H15" s="56" t="n">
        <v>4.721</v>
      </c>
      <c r="I15" s="55" t="inlineStr">
        <is>
          <t>Succeeded</t>
        </is>
      </c>
      <c r="J15" s="55" t="inlineStr">
        <is>
          <t>US</t>
        </is>
      </c>
      <c r="K15" s="55" t="inlineStr">
        <is>
          <t>USD</t>
        </is>
      </c>
      <c r="L15" s="57" t="inlineStr">
        <is>
          <t>Steam_5.0_US</t>
        </is>
      </c>
      <c r="M15" s="58" t="n">
        <v>1</v>
      </c>
      <c r="N15" s="59" t="n">
        <v>5</v>
      </c>
      <c r="O15" s="59" t="n">
        <v>4.727</v>
      </c>
    </row>
    <row r="16" ht="20" customHeight="1">
      <c r="A16" s="60" t="n">
        <v>11610011</v>
      </c>
      <c r="B16" s="61" t="inlineStr">
        <is>
          <t>Client_005</t>
        </is>
      </c>
      <c r="C16" s="61" t="inlineStr">
        <is>
          <t>2025-04-10</t>
        </is>
      </c>
      <c r="D16" s="61" t="inlineStr">
        <is>
          <t>Google Play</t>
        </is>
      </c>
      <c r="E16" s="61" t="inlineStr">
        <is>
          <t>Google Play MENA 10 USD</t>
        </is>
      </c>
      <c r="F16" s="62" t="n">
        <v>10</v>
      </c>
      <c r="G16" s="61" t="inlineStr">
        <is>
          <t>Supplier_Omega</t>
        </is>
      </c>
      <c r="H16" s="62" t="n">
        <v>9.196</v>
      </c>
      <c r="I16" s="61" t="inlineStr">
        <is>
          <t>Succeeded</t>
        </is>
      </c>
      <c r="J16" s="61" t="inlineStr">
        <is>
          <t>MENA</t>
        </is>
      </c>
      <c r="K16" s="61" t="inlineStr">
        <is>
          <t>USD</t>
        </is>
      </c>
      <c r="L16" s="57" t="inlineStr">
        <is>
          <t>Google Play_10.0_MENA</t>
        </is>
      </c>
      <c r="M16" s="58" t="n">
        <v>1</v>
      </c>
      <c r="N16" s="59" t="n">
        <v>10</v>
      </c>
      <c r="O16" s="59" t="n">
        <v>9.199999999999999</v>
      </c>
    </row>
    <row r="17" ht="20" customHeight="1">
      <c r="A17" s="54" t="n">
        <v>11610012</v>
      </c>
      <c r="B17" s="55" t="inlineStr">
        <is>
          <t>Client_007</t>
        </is>
      </c>
      <c r="C17" s="55" t="inlineStr">
        <is>
          <t>2025-04-17</t>
        </is>
      </c>
      <c r="D17" s="55" t="inlineStr">
        <is>
          <t>iTunes</t>
        </is>
      </c>
      <c r="E17" s="55" t="inlineStr">
        <is>
          <t>iTunes EU 25 USD</t>
        </is>
      </c>
      <c r="F17" s="56" t="n">
        <v>25</v>
      </c>
      <c r="G17" s="55" t="inlineStr">
        <is>
          <t>Supplier_Titan</t>
        </is>
      </c>
      <c r="H17" s="56" t="n">
        <v>22.09</v>
      </c>
      <c r="I17" s="55" t="inlineStr">
        <is>
          <t>Succeeded</t>
        </is>
      </c>
      <c r="J17" s="55" t="inlineStr">
        <is>
          <t>EU</t>
        </is>
      </c>
      <c r="K17" s="55" t="inlineStr">
        <is>
          <t>USD</t>
        </is>
      </c>
      <c r="L17" s="57" t="inlineStr">
        <is>
          <t>iTunes_25.0_EU</t>
        </is>
      </c>
      <c r="M17" s="58" t="n">
        <v>1</v>
      </c>
      <c r="N17" s="59" t="n">
        <v>25</v>
      </c>
      <c r="O17" s="59" t="n">
        <v>22.1</v>
      </c>
    </row>
    <row r="18" ht="20" customHeight="1">
      <c r="A18" s="60" t="n">
        <v>11610013</v>
      </c>
      <c r="B18" s="61" t="inlineStr">
        <is>
          <t>Client_007</t>
        </is>
      </c>
      <c r="C18" s="61" t="inlineStr">
        <is>
          <t>2025-04-22</t>
        </is>
      </c>
      <c r="D18" s="61" t="inlineStr">
        <is>
          <t>Amazon</t>
        </is>
      </c>
      <c r="E18" s="61" t="inlineStr">
        <is>
          <t>Amazon US 50 USD</t>
        </is>
      </c>
      <c r="F18" s="62" t="n">
        <v>50</v>
      </c>
      <c r="G18" s="61" t="inlineStr">
        <is>
          <t>Supplier_Nova</t>
        </is>
      </c>
      <c r="H18" s="62" t="n">
        <v>47.493</v>
      </c>
      <c r="I18" s="61" t="inlineStr">
        <is>
          <t>Succeeded</t>
        </is>
      </c>
      <c r="J18" s="61" t="inlineStr">
        <is>
          <t>US</t>
        </is>
      </c>
      <c r="K18" s="61" t="inlineStr">
        <is>
          <t>USD</t>
        </is>
      </c>
      <c r="L18" s="57" t="inlineStr">
        <is>
          <t>Amazon_50.0_US</t>
        </is>
      </c>
      <c r="M18" s="58" t="n">
        <v>1</v>
      </c>
      <c r="N18" s="59" t="n">
        <v>50</v>
      </c>
      <c r="O18" s="59" t="n">
        <v>47.5</v>
      </c>
    </row>
    <row r="19" ht="20" customHeight="1">
      <c r="A19" s="54" t="n">
        <v>11610014</v>
      </c>
      <c r="B19" s="55" t="inlineStr">
        <is>
          <t>Client_004</t>
        </is>
      </c>
      <c r="C19" s="55" t="inlineStr">
        <is>
          <t>2025-04-28</t>
        </is>
      </c>
      <c r="D19" s="55" t="inlineStr">
        <is>
          <t>PlayStation</t>
        </is>
      </c>
      <c r="E19" s="55" t="inlineStr">
        <is>
          <t>PlayStation MENA 20 USD</t>
        </is>
      </c>
      <c r="F19" s="56" t="n">
        <v>20</v>
      </c>
      <c r="G19" s="55" t="inlineStr">
        <is>
          <t>Supplier_Atlas</t>
        </is>
      </c>
      <c r="H19" s="56" t="n">
        <v>17.797</v>
      </c>
      <c r="I19" s="55" t="inlineStr">
        <is>
          <t>Succeeded</t>
        </is>
      </c>
      <c r="J19" s="55" t="inlineStr">
        <is>
          <t>MENA</t>
        </is>
      </c>
      <c r="K19" s="55" t="inlineStr">
        <is>
          <t>USD</t>
        </is>
      </c>
      <c r="L19" s="57" t="inlineStr">
        <is>
          <t>PlayStation_20.0_MENA</t>
        </is>
      </c>
      <c r="M19" s="58" t="n">
        <v>1</v>
      </c>
      <c r="N19" s="59" t="n">
        <v>20</v>
      </c>
      <c r="O19" s="59" t="n">
        <v>17.8</v>
      </c>
    </row>
    <row r="20" ht="20" customHeight="1">
      <c r="A20" s="60" t="n">
        <v>11610015</v>
      </c>
      <c r="B20" s="61" t="inlineStr">
        <is>
          <t>Client_002</t>
        </is>
      </c>
      <c r="C20" s="61" t="inlineStr">
        <is>
          <t>2025-05-03</t>
        </is>
      </c>
      <c r="D20" s="61" t="inlineStr">
        <is>
          <t>Netflix</t>
        </is>
      </c>
      <c r="E20" s="61" t="inlineStr">
        <is>
          <t>Netflix APAC 15 USD</t>
        </is>
      </c>
      <c r="F20" s="62" t="n">
        <v>15</v>
      </c>
      <c r="G20" s="61" t="inlineStr">
        <is>
          <t>Supplier_Prism</t>
        </is>
      </c>
      <c r="H20" s="62" t="n">
        <v>13.094</v>
      </c>
      <c r="I20" s="61" t="inlineStr">
        <is>
          <t>Succeeded</t>
        </is>
      </c>
      <c r="J20" s="61" t="inlineStr">
        <is>
          <t>APAC</t>
        </is>
      </c>
      <c r="K20" s="61" t="inlineStr">
        <is>
          <t>USD</t>
        </is>
      </c>
      <c r="L20" s="57" t="inlineStr">
        <is>
          <t>Netflix_15.0_APAC</t>
        </is>
      </c>
      <c r="M20" s="58" t="n">
        <v>1</v>
      </c>
      <c r="N20" s="59" t="n">
        <v>15</v>
      </c>
      <c r="O20" s="59" t="n">
        <v>13.1</v>
      </c>
    </row>
    <row r="21" ht="20" customHeight="1">
      <c r="A21" s="54" t="n">
        <v>11610016</v>
      </c>
      <c r="B21" s="55" t="inlineStr">
        <is>
          <t>Client_007</t>
        </is>
      </c>
      <c r="C21" s="55" t="inlineStr">
        <is>
          <t>2025-05-09</t>
        </is>
      </c>
      <c r="D21" s="55" t="inlineStr">
        <is>
          <t>Roblox</t>
        </is>
      </c>
      <c r="E21" s="55" t="inlineStr">
        <is>
          <t>Roblox US 10 USD</t>
        </is>
      </c>
      <c r="F21" s="56" t="n">
        <v>10</v>
      </c>
      <c r="G21" s="55" t="inlineStr">
        <is>
          <t>Supplier_Omega</t>
        </is>
      </c>
      <c r="H21" s="56" t="n">
        <v>8.497</v>
      </c>
      <c r="I21" s="55" t="inlineStr">
        <is>
          <t>Succeeded</t>
        </is>
      </c>
      <c r="J21" s="55" t="inlineStr">
        <is>
          <t>US</t>
        </is>
      </c>
      <c r="K21" s="55" t="inlineStr">
        <is>
          <t>USD</t>
        </is>
      </c>
      <c r="L21" s="57" t="inlineStr">
        <is>
          <t>Roblox_10.0_US</t>
        </is>
      </c>
      <c r="M21" s="58" t="n">
        <v>1</v>
      </c>
      <c r="N21" s="59" t="n">
        <v>10</v>
      </c>
      <c r="O21" s="59" t="n">
        <v>8.5</v>
      </c>
    </row>
    <row r="22" ht="20" customHeight="1">
      <c r="A22" s="60" t="n">
        <v>11610017</v>
      </c>
      <c r="B22" s="61" t="inlineStr">
        <is>
          <t>Client_001</t>
        </is>
      </c>
      <c r="C22" s="61" t="inlineStr">
        <is>
          <t>2025-05-15</t>
        </is>
      </c>
      <c r="D22" s="61" t="inlineStr">
        <is>
          <t>Noon</t>
        </is>
      </c>
      <c r="E22" s="61" t="inlineStr">
        <is>
          <t>Noon MENA 100 USD</t>
        </is>
      </c>
      <c r="F22" s="62" t="n">
        <v>100</v>
      </c>
      <c r="G22" s="61" t="inlineStr">
        <is>
          <t>Supplier_Atlas</t>
        </is>
      </c>
      <c r="H22" s="62" t="n">
        <v>93.998</v>
      </c>
      <c r="I22" s="61" t="inlineStr">
        <is>
          <t>Succeeded</t>
        </is>
      </c>
      <c r="J22" s="61" t="inlineStr">
        <is>
          <t>MENA</t>
        </is>
      </c>
      <c r="K22" s="61" t="inlineStr">
        <is>
          <t>USD</t>
        </is>
      </c>
      <c r="L22" s="57" t="inlineStr">
        <is>
          <t>Noon_100.0_MENA</t>
        </is>
      </c>
      <c r="M22" s="58" t="n">
        <v>1</v>
      </c>
      <c r="N22" s="59" t="n">
        <v>100</v>
      </c>
      <c r="O22" s="59" t="n">
        <v>94</v>
      </c>
    </row>
    <row r="23" ht="20" customHeight="1">
      <c r="A23" s="54" t="n">
        <v>11610018</v>
      </c>
      <c r="B23" s="55" t="inlineStr">
        <is>
          <t>Client_003</t>
        </is>
      </c>
      <c r="C23" s="55" t="inlineStr">
        <is>
          <t>2025-05-20</t>
        </is>
      </c>
      <c r="D23" s="55" t="inlineStr">
        <is>
          <t>Etisalat</t>
        </is>
      </c>
      <c r="E23" s="55" t="inlineStr">
        <is>
          <t>Etisalat MENA 20 USD</t>
        </is>
      </c>
      <c r="F23" s="56" t="n">
        <v>20</v>
      </c>
      <c r="G23" s="55" t="inlineStr">
        <is>
          <t>Supplier_Nova</t>
        </is>
      </c>
      <c r="H23" s="56" t="n">
        <v>18.207</v>
      </c>
      <c r="I23" s="55" t="inlineStr">
        <is>
          <t>Succeeded</t>
        </is>
      </c>
      <c r="J23" s="55" t="inlineStr">
        <is>
          <t>MENA</t>
        </is>
      </c>
      <c r="K23" s="55" t="inlineStr">
        <is>
          <t>USD</t>
        </is>
      </c>
      <c r="L23" s="57" t="inlineStr">
        <is>
          <t>Etisalat_20.0_MENA</t>
        </is>
      </c>
      <c r="M23" s="58" t="n">
        <v>1</v>
      </c>
      <c r="N23" s="59" t="n">
        <v>20</v>
      </c>
      <c r="O23" s="59" t="n">
        <v>18.2</v>
      </c>
    </row>
    <row r="24" ht="20" customHeight="1">
      <c r="A24" s="60" t="n">
        <v>11610019</v>
      </c>
      <c r="B24" s="61" t="inlineStr">
        <is>
          <t>Client_005</t>
        </is>
      </c>
      <c r="C24" s="61" t="inlineStr">
        <is>
          <t>2025-05-28</t>
        </is>
      </c>
      <c r="D24" s="61" t="inlineStr">
        <is>
          <t>Spotify</t>
        </is>
      </c>
      <c r="E24" s="61" t="inlineStr">
        <is>
          <t>Spotify EU 10 USD</t>
        </is>
      </c>
      <c r="F24" s="62" t="n">
        <v>10</v>
      </c>
      <c r="G24" s="61" t="inlineStr">
        <is>
          <t>Supplier_Titan</t>
        </is>
      </c>
      <c r="H24" s="62" t="n">
        <v>8.795</v>
      </c>
      <c r="I24" s="61" t="inlineStr">
        <is>
          <t>Succeeded</t>
        </is>
      </c>
      <c r="J24" s="61" t="inlineStr">
        <is>
          <t>EU</t>
        </is>
      </c>
      <c r="K24" s="61" t="inlineStr">
        <is>
          <t>USD</t>
        </is>
      </c>
      <c r="L24" s="57" t="inlineStr">
        <is>
          <t>Spotify_10.0_EU</t>
        </is>
      </c>
      <c r="M24" s="58" t="n">
        <v>1</v>
      </c>
      <c r="N24" s="59" t="n">
        <v>10</v>
      </c>
      <c r="O24" s="59" t="n">
        <v>8.800000000000001</v>
      </c>
    </row>
  </sheetData>
  <mergeCells count="2">
    <mergeCell ref="A1:O1"/>
    <mergeCell ref="A2:O2"/>
  </mergeCells>
  <pageMargins left="0.75" right="0.75" top="1" bottom="1" header="0.5" footer="0.5"/>
</worksheet>
</file>

<file path=xl/worksheets/sheet5.xml><?xml version="1.0" encoding="utf-8"?>
<worksheet xmlns="http://schemas.openxmlformats.org/spreadsheetml/2006/main">
  <sheetPr>
    <tabColor rgb="007C786E"/>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28" customWidth="1" min="3" max="3"/>
    <col width="14" customWidth="1" min="4" max="4"/>
    <col width="10" customWidth="1" min="5" max="5"/>
    <col width="14" customWidth="1" min="6" max="6"/>
  </cols>
  <sheetData>
    <row r="1" ht="38" customHeight="1">
      <c r="A1" s="50" t="inlineStr">
        <is>
          <t>sku_master</t>
        </is>
      </c>
    </row>
    <row r="2" ht="24" customHeight="1">
      <c r="A2" s="17" t="inlineStr">
        <is>
          <t>Product catalog. Stable SKU metadata. Join key: sku_id.</t>
        </is>
      </c>
    </row>
    <row r="3" ht="8" customHeight="1"/>
    <row r="4">
      <c r="A4" s="3" t="inlineStr">
        <is>
          <t>sku_id</t>
        </is>
      </c>
      <c r="B4" s="3" t="inlineStr">
        <is>
          <t>brand</t>
        </is>
      </c>
      <c r="C4" s="3" t="inlineStr">
        <is>
          <t>product_name</t>
        </is>
      </c>
      <c r="D4" s="3" t="inlineStr">
        <is>
          <t>denomination</t>
        </is>
      </c>
      <c r="E4" s="3" t="inlineStr">
        <is>
          <t>region</t>
        </is>
      </c>
      <c r="F4" s="3" t="inlineStr">
        <is>
          <t>strategic_flag</t>
        </is>
      </c>
    </row>
    <row r="5" ht="20" customHeight="1">
      <c r="A5" s="55" t="inlineStr">
        <is>
          <t>Steam_5.0_US</t>
        </is>
      </c>
      <c r="B5" s="55" t="inlineStr">
        <is>
          <t>Steam</t>
        </is>
      </c>
      <c r="C5" s="55" t="inlineStr">
        <is>
          <t>Steam US 5 USD</t>
        </is>
      </c>
      <c r="D5" s="56" t="n">
        <v>5</v>
      </c>
      <c r="E5" s="55" t="inlineStr">
        <is>
          <t>US</t>
        </is>
      </c>
      <c r="F5" s="55" t="inlineStr">
        <is>
          <t>HIGH</t>
        </is>
      </c>
    </row>
    <row r="6" ht="20" customHeight="1">
      <c r="A6" s="61" t="inlineStr">
        <is>
          <t>Google Play_10.0_MENA</t>
        </is>
      </c>
      <c r="B6" s="61" t="inlineStr">
        <is>
          <t>Google Play</t>
        </is>
      </c>
      <c r="C6" s="61" t="inlineStr">
        <is>
          <t>Google Play MENA 10 USD</t>
        </is>
      </c>
      <c r="D6" s="62" t="n">
        <v>10</v>
      </c>
      <c r="E6" s="61" t="inlineStr">
        <is>
          <t>MENA</t>
        </is>
      </c>
      <c r="F6" s="61" t="inlineStr">
        <is>
          <t>WATCH</t>
        </is>
      </c>
    </row>
    <row r="7" ht="20" customHeight="1">
      <c r="A7" s="55" t="inlineStr">
        <is>
          <t>iTunes_25.0_EU</t>
        </is>
      </c>
      <c r="B7" s="55" t="inlineStr">
        <is>
          <t>iTunes</t>
        </is>
      </c>
      <c r="C7" s="55" t="inlineStr">
        <is>
          <t>iTunes EU 25 USD</t>
        </is>
      </c>
      <c r="D7" s="56" t="n">
        <v>25</v>
      </c>
      <c r="E7" s="55" t="inlineStr">
        <is>
          <t>EU</t>
        </is>
      </c>
      <c r="F7" s="55" t="inlineStr">
        <is>
          <t>MEDIUM</t>
        </is>
      </c>
    </row>
    <row r="8" ht="20" customHeight="1">
      <c r="A8" s="61" t="inlineStr">
        <is>
          <t>Amazon_50.0_US</t>
        </is>
      </c>
      <c r="B8" s="61" t="inlineStr">
        <is>
          <t>Amazon</t>
        </is>
      </c>
      <c r="C8" s="61" t="inlineStr">
        <is>
          <t>Amazon US 50 USD</t>
        </is>
      </c>
      <c r="D8" s="62" t="n">
        <v>50</v>
      </c>
      <c r="E8" s="61" t="inlineStr">
        <is>
          <t>US</t>
        </is>
      </c>
      <c r="F8" s="61" t="inlineStr">
        <is>
          <t>LOW</t>
        </is>
      </c>
    </row>
    <row r="9" ht="20" customHeight="1">
      <c r="A9" s="55" t="inlineStr">
        <is>
          <t>PlayStation_20.0_MENA</t>
        </is>
      </c>
      <c r="B9" s="55" t="inlineStr">
        <is>
          <t>PlayStation</t>
        </is>
      </c>
      <c r="C9" s="55" t="inlineStr">
        <is>
          <t>PlayStation MENA 20 USD</t>
        </is>
      </c>
      <c r="D9" s="56" t="n">
        <v>20</v>
      </c>
      <c r="E9" s="55" t="inlineStr">
        <is>
          <t>MENA</t>
        </is>
      </c>
      <c r="F9" s="55" t="inlineStr">
        <is>
          <t>HIGH</t>
        </is>
      </c>
    </row>
    <row r="10" ht="20" customHeight="1">
      <c r="A10" s="61" t="inlineStr">
        <is>
          <t>Netflix_15.0_APAC</t>
        </is>
      </c>
      <c r="B10" s="61" t="inlineStr">
        <is>
          <t>Netflix</t>
        </is>
      </c>
      <c r="C10" s="61" t="inlineStr">
        <is>
          <t>Netflix APAC 15 USD</t>
        </is>
      </c>
      <c r="D10" s="62" t="n">
        <v>15</v>
      </c>
      <c r="E10" s="61" t="inlineStr">
        <is>
          <t>APAC</t>
        </is>
      </c>
      <c r="F10" s="61" t="inlineStr">
        <is>
          <t>MEDIUM</t>
        </is>
      </c>
    </row>
    <row r="11" ht="20" customHeight="1">
      <c r="A11" s="55" t="inlineStr">
        <is>
          <t>Roblox_10.0_US</t>
        </is>
      </c>
      <c r="B11" s="55" t="inlineStr">
        <is>
          <t>Roblox</t>
        </is>
      </c>
      <c r="C11" s="55" t="inlineStr">
        <is>
          <t>Roblox US 10 USD</t>
        </is>
      </c>
      <c r="D11" s="56" t="n">
        <v>10</v>
      </c>
      <c r="E11" s="55" t="inlineStr">
        <is>
          <t>US</t>
        </is>
      </c>
      <c r="F11" s="55" t="inlineStr">
        <is>
          <t>HIGH</t>
        </is>
      </c>
    </row>
    <row r="12" ht="20" customHeight="1">
      <c r="A12" s="61" t="inlineStr">
        <is>
          <t>Noon_100.0_MENA</t>
        </is>
      </c>
      <c r="B12" s="61" t="inlineStr">
        <is>
          <t>Noon</t>
        </is>
      </c>
      <c r="C12" s="61" t="inlineStr">
        <is>
          <t>Noon MENA 100 USD</t>
        </is>
      </c>
      <c r="D12" s="62" t="n">
        <v>100</v>
      </c>
      <c r="E12" s="61" t="inlineStr">
        <is>
          <t>MENA</t>
        </is>
      </c>
      <c r="F12" s="61" t="inlineStr">
        <is>
          <t>LOW</t>
        </is>
      </c>
    </row>
    <row r="13" ht="20" customHeight="1">
      <c r="A13" s="55" t="inlineStr">
        <is>
          <t>Etisalat_20.0_MENA</t>
        </is>
      </c>
      <c r="B13" s="55" t="inlineStr">
        <is>
          <t>Etisalat</t>
        </is>
      </c>
      <c r="C13" s="55" t="inlineStr">
        <is>
          <t>Etisalat MENA 20 USD</t>
        </is>
      </c>
      <c r="D13" s="56" t="n">
        <v>20</v>
      </c>
      <c r="E13" s="55" t="inlineStr">
        <is>
          <t>MENA</t>
        </is>
      </c>
      <c r="F13" s="55" t="inlineStr">
        <is>
          <t>MEDIUM</t>
        </is>
      </c>
    </row>
    <row r="14" ht="20" customHeight="1">
      <c r="A14" s="61" t="inlineStr">
        <is>
          <t>Spotify_10.0_EU</t>
        </is>
      </c>
      <c r="B14" s="61" t="inlineStr">
        <is>
          <t>Spotify</t>
        </is>
      </c>
      <c r="C14" s="61" t="inlineStr">
        <is>
          <t>Spotify EU 10 USD</t>
        </is>
      </c>
      <c r="D14" s="62" t="n">
        <v>10</v>
      </c>
      <c r="E14" s="61" t="inlineStr">
        <is>
          <t>EU</t>
        </is>
      </c>
      <c r="F14" s="61" t="inlineStr">
        <is>
          <t>WATCH</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7C4A00"/>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4" customWidth="1" min="3" max="3"/>
    <col width="12" customWidth="1" min="4" max="4"/>
    <col width="16" customWidth="1" min="5" max="5"/>
    <col width="12" customWidth="1" min="6" max="6"/>
  </cols>
  <sheetData>
    <row r="1" ht="38" customHeight="1">
      <c r="A1" s="50" t="inlineStr">
        <is>
          <t>supplier_offers</t>
        </is>
      </c>
    </row>
    <row r="2" ht="24" customHeight="1">
      <c r="A2" s="17" t="inlineStr">
        <is>
          <t>Supplier economics per SKU. Includes cost, fee, reliability. One row per SKU×supplier combination.</t>
        </is>
      </c>
    </row>
    <row r="3" ht="8" customHeight="1"/>
    <row r="4">
      <c r="A4" s="3" t="inlineStr">
        <is>
          <t>sku_id</t>
        </is>
      </c>
      <c r="B4" s="3" t="inlineStr">
        <is>
          <t>supplier_name</t>
        </is>
      </c>
      <c r="C4" s="3" t="inlineStr">
        <is>
          <t>supplier_cost</t>
        </is>
      </c>
      <c r="D4" s="3" t="inlineStr">
        <is>
          <t>supplier_fee</t>
        </is>
      </c>
      <c r="E4" s="3" t="inlineStr">
        <is>
          <t>reliability_score</t>
        </is>
      </c>
      <c r="F4" s="3" t="inlineStr">
        <is>
          <t>inventory</t>
        </is>
      </c>
    </row>
    <row r="5" ht="20" customHeight="1">
      <c r="A5" s="55" t="inlineStr">
        <is>
          <t>Steam_5.0_US</t>
        </is>
      </c>
      <c r="B5" s="55" t="inlineStr">
        <is>
          <t>Supplier_Atlas</t>
        </is>
      </c>
      <c r="C5" s="63" t="n">
        <v>4.727</v>
      </c>
      <c r="D5" s="63" t="n">
        <v>0.0473</v>
      </c>
      <c r="E5" s="64" t="n">
        <v>0.98</v>
      </c>
      <c r="F5" s="54" t="n">
        <v>1028</v>
      </c>
    </row>
    <row r="6" ht="20" customHeight="1">
      <c r="A6" s="61" t="inlineStr">
        <is>
          <t>Google Play_10.0_MENA</t>
        </is>
      </c>
      <c r="B6" s="61" t="inlineStr">
        <is>
          <t>Supplier_Omega</t>
        </is>
      </c>
      <c r="C6" s="65" t="n">
        <v>9.199999999999999</v>
      </c>
      <c r="D6" s="65" t="n">
        <v>0.092</v>
      </c>
      <c r="E6" s="66" t="n">
        <v>0.95</v>
      </c>
      <c r="F6" s="60" t="n">
        <v>540</v>
      </c>
    </row>
    <row r="7" ht="20" customHeight="1">
      <c r="A7" s="55" t="inlineStr">
        <is>
          <t>iTunes_25.0_EU</t>
        </is>
      </c>
      <c r="B7" s="55" t="inlineStr">
        <is>
          <t>Supplier_Titan</t>
        </is>
      </c>
      <c r="C7" s="63" t="n">
        <v>22.1</v>
      </c>
      <c r="D7" s="63" t="n">
        <v>0.221</v>
      </c>
      <c r="E7" s="64" t="n">
        <v>0.99</v>
      </c>
      <c r="F7" s="54" t="n">
        <v>320</v>
      </c>
    </row>
    <row r="8" ht="20" customHeight="1">
      <c r="A8" s="61" t="inlineStr">
        <is>
          <t>Amazon_50.0_US</t>
        </is>
      </c>
      <c r="B8" s="61" t="inlineStr">
        <is>
          <t>Supplier_Nova</t>
        </is>
      </c>
      <c r="C8" s="65" t="n">
        <v>47.5</v>
      </c>
      <c r="D8" s="65" t="n">
        <v>0.475</v>
      </c>
      <c r="E8" s="66" t="n">
        <v>0.97</v>
      </c>
      <c r="F8" s="60" t="n">
        <v>210</v>
      </c>
    </row>
    <row r="9" ht="20" customHeight="1">
      <c r="A9" s="55" t="inlineStr">
        <is>
          <t>PlayStation_20.0_MENA</t>
        </is>
      </c>
      <c r="B9" s="55" t="inlineStr">
        <is>
          <t>Supplier_Atlas</t>
        </is>
      </c>
      <c r="C9" s="63" t="n">
        <v>17.8</v>
      </c>
      <c r="D9" s="63" t="n">
        <v>0.178</v>
      </c>
      <c r="E9" s="64" t="n">
        <v>0.92</v>
      </c>
      <c r="F9" s="54" t="n">
        <v>185</v>
      </c>
    </row>
    <row r="10" ht="20" customHeight="1">
      <c r="A10" s="61" t="inlineStr">
        <is>
          <t>Netflix_15.0_APAC</t>
        </is>
      </c>
      <c r="B10" s="61" t="inlineStr">
        <is>
          <t>Supplier_Prism</t>
        </is>
      </c>
      <c r="C10" s="65" t="n">
        <v>13.1</v>
      </c>
      <c r="D10" s="65" t="n">
        <v>0.131</v>
      </c>
      <c r="E10" s="66" t="n">
        <v>0.96</v>
      </c>
      <c r="F10" s="60" t="n">
        <v>410</v>
      </c>
    </row>
    <row r="11" ht="20" customHeight="1">
      <c r="A11" s="55" t="inlineStr">
        <is>
          <t>Roblox_10.0_US</t>
        </is>
      </c>
      <c r="B11" s="55" t="inlineStr">
        <is>
          <t>Supplier_Omega</t>
        </is>
      </c>
      <c r="C11" s="63" t="n">
        <v>8.5</v>
      </c>
      <c r="D11" s="63" t="n">
        <v>0.08500000000000001</v>
      </c>
      <c r="E11" s="64" t="n">
        <v>0.88</v>
      </c>
      <c r="F11" s="54" t="n">
        <v>890</v>
      </c>
    </row>
    <row r="12" ht="20" customHeight="1">
      <c r="A12" s="61" t="inlineStr">
        <is>
          <t>Noon_100.0_MENA</t>
        </is>
      </c>
      <c r="B12" s="61" t="inlineStr">
        <is>
          <t>Supplier_Atlas</t>
        </is>
      </c>
      <c r="C12" s="65" t="n">
        <v>94</v>
      </c>
      <c r="D12" s="65" t="n">
        <v>0.9399999999999999</v>
      </c>
      <c r="E12" s="66" t="n">
        <v>0.9399999999999999</v>
      </c>
      <c r="F12" s="60" t="n">
        <v>65</v>
      </c>
    </row>
    <row r="13" ht="20" customHeight="1">
      <c r="A13" s="55" t="inlineStr">
        <is>
          <t>Etisalat_20.0_MENA</t>
        </is>
      </c>
      <c r="B13" s="55" t="inlineStr">
        <is>
          <t>Supplier_Nova</t>
        </is>
      </c>
      <c r="C13" s="63" t="n">
        <v>18.2</v>
      </c>
      <c r="D13" s="63" t="n">
        <v>0.182</v>
      </c>
      <c r="E13" s="64" t="n">
        <v>0.99</v>
      </c>
      <c r="F13" s="54" t="n">
        <v>720</v>
      </c>
    </row>
    <row r="14" ht="20" customHeight="1">
      <c r="A14" s="61" t="inlineStr">
        <is>
          <t>Spotify_10.0_EU</t>
        </is>
      </c>
      <c r="B14" s="61" t="inlineStr">
        <is>
          <t>Supplier_Titan</t>
        </is>
      </c>
      <c r="C14" s="65" t="n">
        <v>8.800000000000001</v>
      </c>
      <c r="D14" s="65" t="n">
        <v>0.08799999999999999</v>
      </c>
      <c r="E14" s="66" t="n">
        <v>0.97</v>
      </c>
      <c r="F14" s="60" t="n">
        <v>580</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7C786E"/>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8" customWidth="1" min="3" max="3"/>
    <col width="12" customWidth="1" min="4" max="4"/>
    <col width="16" customWidth="1" min="5" max="5"/>
  </cols>
  <sheetData>
    <row r="1" ht="38" customHeight="1">
      <c r="A1" s="50" t="inlineStr">
        <is>
          <t>sku_day_sales</t>
        </is>
      </c>
    </row>
    <row r="2" ht="24" customHeight="1">
      <c r="A2" s="17" t="inlineStr">
        <is>
          <t>Daily demand aggregation per SKU. Derived from orders_fact by date × sku_id.</t>
        </is>
      </c>
    </row>
    <row r="3" ht="8" customHeight="1"/>
    <row r="4">
      <c r="A4" s="3" t="inlineStr">
        <is>
          <t>order_date</t>
        </is>
      </c>
      <c r="B4" s="3" t="inlineStr">
        <is>
          <t>sku_id</t>
        </is>
      </c>
      <c r="C4" s="53" t="inlineStr">
        <is>
          <t>units</t>
        </is>
      </c>
      <c r="D4" s="53" t="inlineStr">
        <is>
          <t>revenue</t>
        </is>
      </c>
      <c r="E4" s="53" t="inlineStr">
        <is>
          <t>avg_sell_price</t>
        </is>
      </c>
    </row>
    <row r="5" ht="20" customHeight="1">
      <c r="A5" s="55" t="inlineStr">
        <is>
          <t>2025-01-15</t>
        </is>
      </c>
      <c r="B5" s="55" t="inlineStr">
        <is>
          <t>Steam_5.0_US</t>
        </is>
      </c>
      <c r="C5" s="58" t="n">
        <v>10</v>
      </c>
      <c r="D5" s="67" t="n">
        <v>50</v>
      </c>
      <c r="E5" s="67" t="n">
        <v>5</v>
      </c>
    </row>
    <row r="6" ht="20" customHeight="1">
      <c r="A6" s="61" t="inlineStr">
        <is>
          <t>2025-01-18</t>
        </is>
      </c>
      <c r="B6" s="61" t="inlineStr">
        <is>
          <t>Steam_5.0_US</t>
        </is>
      </c>
      <c r="C6" s="58" t="n">
        <v>6</v>
      </c>
      <c r="D6" s="67" t="n">
        <v>30</v>
      </c>
      <c r="E6" s="67" t="n">
        <v>5</v>
      </c>
    </row>
    <row r="7" ht="20" customHeight="1">
      <c r="A7" s="55" t="inlineStr">
        <is>
          <t>2025-01-22</t>
        </is>
      </c>
      <c r="B7" s="55" t="inlineStr">
        <is>
          <t>Steam_5.0_US</t>
        </is>
      </c>
      <c r="C7" s="58" t="n">
        <v>10</v>
      </c>
      <c r="D7" s="67" t="n">
        <v>50</v>
      </c>
      <c r="E7" s="67" t="n">
        <v>5</v>
      </c>
    </row>
    <row r="8" ht="20" customHeight="1">
      <c r="A8" s="61" t="inlineStr">
        <is>
          <t>2025-02-03</t>
        </is>
      </c>
      <c r="B8" s="61" t="inlineStr">
        <is>
          <t>Steam_5.0_US</t>
        </is>
      </c>
      <c r="C8" s="58" t="n">
        <v>4</v>
      </c>
      <c r="D8" s="67" t="n">
        <v>20</v>
      </c>
      <c r="E8" s="67" t="n">
        <v>5</v>
      </c>
    </row>
    <row r="9" ht="20" customHeight="1">
      <c r="A9" s="55" t="inlineStr">
        <is>
          <t>2025-02-14</t>
        </is>
      </c>
      <c r="B9" s="55" t="inlineStr">
        <is>
          <t>Steam_5.0_US</t>
        </is>
      </c>
      <c r="C9" s="58" t="n">
        <v>12</v>
      </c>
      <c r="D9" s="67" t="n">
        <v>60</v>
      </c>
      <c r="E9" s="67" t="n">
        <v>5</v>
      </c>
    </row>
    <row r="10" ht="20" customHeight="1">
      <c r="A10" s="61" t="inlineStr">
        <is>
          <t>2025-01-15</t>
        </is>
      </c>
      <c r="B10" s="61" t="inlineStr">
        <is>
          <t>Google Play_10.0_MENA</t>
        </is>
      </c>
      <c r="C10" s="58" t="n">
        <v>2</v>
      </c>
      <c r="D10" s="67" t="n">
        <v>20</v>
      </c>
      <c r="E10" s="67" t="n">
        <v>10</v>
      </c>
    </row>
    <row r="11" ht="20" customHeight="1">
      <c r="A11" s="55" t="inlineStr">
        <is>
          <t>2025-01-18</t>
        </is>
      </c>
      <c r="B11" s="55" t="inlineStr">
        <is>
          <t>Google Play_10.0_MENA</t>
        </is>
      </c>
      <c r="C11" s="58" t="n">
        <v>1</v>
      </c>
      <c r="D11" s="67" t="n">
        <v>10</v>
      </c>
      <c r="E11" s="67" t="n">
        <v>10</v>
      </c>
    </row>
    <row r="12" ht="20" customHeight="1">
      <c r="A12" s="61" t="inlineStr">
        <is>
          <t>2025-01-22</t>
        </is>
      </c>
      <c r="B12" s="61" t="inlineStr">
        <is>
          <t>Google Play_10.0_MENA</t>
        </is>
      </c>
      <c r="C12" s="58" t="n">
        <v>11</v>
      </c>
      <c r="D12" s="67" t="n">
        <v>110</v>
      </c>
      <c r="E12" s="67" t="n">
        <v>10</v>
      </c>
    </row>
    <row r="13" ht="20" customHeight="1">
      <c r="A13" s="55" t="inlineStr">
        <is>
          <t>2025-02-03</t>
        </is>
      </c>
      <c r="B13" s="55" t="inlineStr">
        <is>
          <t>Google Play_10.0_MENA</t>
        </is>
      </c>
      <c r="C13" s="58" t="n">
        <v>4</v>
      </c>
      <c r="D13" s="67" t="n">
        <v>40</v>
      </c>
      <c r="E13" s="67" t="n">
        <v>10</v>
      </c>
    </row>
    <row r="14" ht="20" customHeight="1">
      <c r="A14" s="61" t="inlineStr">
        <is>
          <t>2025-02-14</t>
        </is>
      </c>
      <c r="B14" s="61" t="inlineStr">
        <is>
          <t>Google Play_10.0_MENA</t>
        </is>
      </c>
      <c r="C14" s="58" t="n">
        <v>5</v>
      </c>
      <c r="D14" s="67" t="n">
        <v>50</v>
      </c>
      <c r="E14" s="67" t="n">
        <v>10</v>
      </c>
    </row>
    <row r="15" ht="20" customHeight="1">
      <c r="A15" s="55" t="inlineStr">
        <is>
          <t>2025-01-15</t>
        </is>
      </c>
      <c r="B15" s="55" t="inlineStr">
        <is>
          <t>iTunes_25.0_EU</t>
        </is>
      </c>
      <c r="C15" s="58" t="n">
        <v>2</v>
      </c>
      <c r="D15" s="67" t="n">
        <v>50</v>
      </c>
      <c r="E15" s="67" t="n">
        <v>25</v>
      </c>
    </row>
    <row r="16" ht="20" customHeight="1">
      <c r="A16" s="61" t="inlineStr">
        <is>
          <t>2025-01-18</t>
        </is>
      </c>
      <c r="B16" s="61" t="inlineStr">
        <is>
          <t>iTunes_25.0_EU</t>
        </is>
      </c>
      <c r="C16" s="58" t="n">
        <v>4</v>
      </c>
      <c r="D16" s="67" t="n">
        <v>100</v>
      </c>
      <c r="E16" s="67" t="n">
        <v>25</v>
      </c>
    </row>
    <row r="17" ht="20" customHeight="1">
      <c r="A17" s="55" t="inlineStr">
        <is>
          <t>2025-01-22</t>
        </is>
      </c>
      <c r="B17" s="55" t="inlineStr">
        <is>
          <t>iTunes_25.0_EU</t>
        </is>
      </c>
      <c r="C17" s="58" t="n">
        <v>2</v>
      </c>
      <c r="D17" s="67" t="n">
        <v>50</v>
      </c>
      <c r="E17" s="67" t="n">
        <v>25</v>
      </c>
    </row>
    <row r="18" ht="20" customHeight="1">
      <c r="A18" s="61" t="inlineStr">
        <is>
          <t>2025-02-03</t>
        </is>
      </c>
      <c r="B18" s="61" t="inlineStr">
        <is>
          <t>iTunes_25.0_EU</t>
        </is>
      </c>
      <c r="C18" s="58" t="n">
        <v>7</v>
      </c>
      <c r="D18" s="67" t="n">
        <v>175</v>
      </c>
      <c r="E18" s="67" t="n">
        <v>25</v>
      </c>
    </row>
    <row r="19" ht="20" customHeight="1">
      <c r="A19" s="55" t="inlineStr">
        <is>
          <t>2025-02-14</t>
        </is>
      </c>
      <c r="B19" s="55" t="inlineStr">
        <is>
          <t>iTunes_25.0_EU</t>
        </is>
      </c>
      <c r="C19" s="58" t="n">
        <v>5</v>
      </c>
      <c r="D19" s="67" t="n">
        <v>125</v>
      </c>
      <c r="E19" s="67" t="n">
        <v>25</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7C4A00"/>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28" customWidth="1" min="1" max="1"/>
    <col width="10" customWidth="1" min="2" max="2"/>
    <col width="10" customWidth="1" min="3" max="3"/>
    <col width="16" customWidth="1" min="4" max="4"/>
    <col width="12" customWidth="1" min="5" max="5"/>
    <col width="16" customWidth="1" min="6" max="6"/>
    <col width="16" customWidth="1" min="7" max="7"/>
    <col width="16" customWidth="1" min="8" max="8"/>
  </cols>
  <sheetData>
    <row r="1" ht="38" customHeight="1">
      <c r="A1" s="50" t="inlineStr">
        <is>
          <t>market_signals</t>
        </is>
      </c>
    </row>
    <row r="2" ht="24" customHeight="1">
      <c r="A2" s="17" t="inlineStr">
        <is>
          <t>Market intelligence: demand volume, competitor prices, sensitivity. Fields marked [ESTIMATE] may need research.</t>
        </is>
      </c>
    </row>
    <row r="3" ht="8" customHeight="1"/>
    <row r="4">
      <c r="A4" s="3" t="inlineStr">
        <is>
          <t>sku_id</t>
        </is>
      </c>
      <c r="B4" s="3" t="inlineStr">
        <is>
          <t>units_30d</t>
        </is>
      </c>
      <c r="C4" s="3" t="inlineStr">
        <is>
          <t>units_60d</t>
        </is>
      </c>
      <c r="D4" s="3" t="inlineStr">
        <is>
          <t>demand_trend_30d</t>
        </is>
      </c>
      <c r="E4" s="3" t="inlineStr">
        <is>
          <t>sell_price</t>
        </is>
      </c>
      <c r="F4" s="3" t="inlineStr">
        <is>
          <t>competitor_price</t>
        </is>
      </c>
      <c r="G4" s="3" t="inlineStr">
        <is>
          <t>price_sensitivity</t>
        </is>
      </c>
      <c r="H4" s="3" t="inlineStr">
        <is>
          <t>seasonality_index</t>
        </is>
      </c>
    </row>
    <row r="5" ht="20" customHeight="1">
      <c r="A5" s="55" t="inlineStr">
        <is>
          <t>Steam_5.0_US</t>
        </is>
      </c>
      <c r="B5" s="54" t="n">
        <v>9</v>
      </c>
      <c r="C5" s="54" t="n">
        <v>27</v>
      </c>
      <c r="D5" s="64" t="n">
        <v>0.5</v>
      </c>
      <c r="E5" s="63" t="n">
        <v>5</v>
      </c>
      <c r="F5" s="63" t="n">
        <v>4.95</v>
      </c>
      <c r="G5" s="64" t="n">
        <v>0.3</v>
      </c>
      <c r="H5" s="64" t="n">
        <v>1.128</v>
      </c>
    </row>
    <row r="6" ht="20" customHeight="1">
      <c r="A6" s="61" t="inlineStr">
        <is>
          <t>Google Play_10.0_MENA</t>
        </is>
      </c>
      <c r="B6" s="60" t="n">
        <v>41</v>
      </c>
      <c r="C6" s="60" t="n">
        <v>66</v>
      </c>
      <c r="D6" s="66" t="n">
        <v>1.64</v>
      </c>
      <c r="E6" s="65" t="n">
        <v>10</v>
      </c>
      <c r="F6" s="65" t="n">
        <v>9.800000000000001</v>
      </c>
      <c r="G6" s="66" t="n">
        <v>0.45</v>
      </c>
      <c r="H6" s="66" t="n">
        <v>0.953</v>
      </c>
    </row>
    <row r="7" ht="20" customHeight="1">
      <c r="A7" s="55" t="inlineStr">
        <is>
          <t>iTunes_25.0_EU</t>
        </is>
      </c>
      <c r="B7" s="54" t="n">
        <v>36</v>
      </c>
      <c r="C7" s="54" t="n">
        <v>66</v>
      </c>
      <c r="D7" s="64" t="n">
        <v>1.2</v>
      </c>
      <c r="E7" s="63" t="n">
        <v>25</v>
      </c>
      <c r="F7" s="63" t="n">
        <v>24.5</v>
      </c>
      <c r="G7" s="64" t="n">
        <v>0.2</v>
      </c>
      <c r="H7" s="64" t="n">
        <v>1.121</v>
      </c>
    </row>
    <row r="8" ht="20" customHeight="1">
      <c r="A8" s="61" t="inlineStr">
        <is>
          <t>Amazon_50.0_US</t>
        </is>
      </c>
      <c r="B8" s="60" t="n">
        <v>46</v>
      </c>
      <c r="C8" s="60" t="n">
        <v>80</v>
      </c>
      <c r="D8" s="66" t="n">
        <v>1.353</v>
      </c>
      <c r="E8" s="65" t="n">
        <v>50</v>
      </c>
      <c r="F8" s="65" t="n">
        <v>49.99</v>
      </c>
      <c r="G8" s="66" t="n">
        <v>0.35</v>
      </c>
      <c r="H8" s="66" t="n">
        <v>0.9360000000000001</v>
      </c>
    </row>
    <row r="9" ht="20" customHeight="1">
      <c r="A9" s="55" t="inlineStr">
        <is>
          <t>PlayStation_20.0_MENA</t>
        </is>
      </c>
      <c r="B9" s="54" t="n">
        <v>13</v>
      </c>
      <c r="C9" s="54" t="n">
        <v>33</v>
      </c>
      <c r="D9" s="64" t="n">
        <v>0.65</v>
      </c>
      <c r="E9" s="63" t="n">
        <v>20</v>
      </c>
      <c r="F9" s="63" t="n">
        <v>19.5</v>
      </c>
      <c r="G9" s="64" t="n">
        <v>0.55</v>
      </c>
      <c r="H9" s="64" t="n">
        <v>1.086</v>
      </c>
    </row>
    <row r="10" ht="20" customHeight="1">
      <c r="A10" s="61" t="inlineStr">
        <is>
          <t>Netflix_15.0_APAC</t>
        </is>
      </c>
      <c r="B10" s="60" t="n">
        <v>39</v>
      </c>
      <c r="C10" s="60" t="n">
        <v>60</v>
      </c>
      <c r="D10" s="66" t="n">
        <v>1.857</v>
      </c>
      <c r="E10" s="65" t="n">
        <v>15</v>
      </c>
      <c r="F10" s="65" t="n">
        <v>14.8</v>
      </c>
      <c r="G10" s="66" t="n">
        <v>0.25</v>
      </c>
      <c r="H10" s="66" t="n">
        <v>1.087</v>
      </c>
    </row>
    <row r="11" ht="20" customHeight="1">
      <c r="A11" s="55" t="inlineStr">
        <is>
          <t>Roblox_10.0_US</t>
        </is>
      </c>
      <c r="B11" s="54" t="n">
        <v>32</v>
      </c>
      <c r="C11" s="54" t="n">
        <v>62</v>
      </c>
      <c r="D11" s="64" t="n">
        <v>1.067</v>
      </c>
      <c r="E11" s="63" t="n">
        <v>10</v>
      </c>
      <c r="F11" s="63" t="n">
        <v>9.5</v>
      </c>
      <c r="G11" s="64" t="n">
        <v>0.7</v>
      </c>
      <c r="H11" s="64" t="n">
        <v>0.99</v>
      </c>
    </row>
    <row r="12" ht="20" customHeight="1">
      <c r="A12" s="61" t="inlineStr">
        <is>
          <t>Noon_100.0_MENA</t>
        </is>
      </c>
      <c r="B12" s="60" t="n">
        <v>13</v>
      </c>
      <c r="C12" s="60" t="n">
        <v>50</v>
      </c>
      <c r="D12" s="66" t="n">
        <v>0.351</v>
      </c>
      <c r="E12" s="65" t="n">
        <v>100</v>
      </c>
      <c r="F12" s="65" t="n">
        <v>98</v>
      </c>
      <c r="G12" s="66" t="n">
        <v>0.4</v>
      </c>
      <c r="H12" s="66" t="n">
        <v>1.023</v>
      </c>
    </row>
    <row r="13" ht="20" customHeight="1">
      <c r="A13" s="55" t="inlineStr">
        <is>
          <t>Etisalat_20.0_MENA</t>
        </is>
      </c>
      <c r="B13" s="54" t="n">
        <v>53</v>
      </c>
      <c r="C13" s="54" t="n">
        <v>61</v>
      </c>
      <c r="D13" s="64" t="n">
        <v>6.625</v>
      </c>
      <c r="E13" s="63" t="n">
        <v>20</v>
      </c>
      <c r="F13" s="63" t="n">
        <v>20.1</v>
      </c>
      <c r="G13" s="64" t="n">
        <v>0.15</v>
      </c>
      <c r="H13" s="64" t="n">
        <v>1.115</v>
      </c>
    </row>
    <row r="14" ht="20" customHeight="1">
      <c r="A14" s="61" t="inlineStr">
        <is>
          <t>Spotify_10.0_EU</t>
        </is>
      </c>
      <c r="B14" s="60" t="n">
        <v>14</v>
      </c>
      <c r="C14" s="60" t="n">
        <v>29</v>
      </c>
      <c r="D14" s="66" t="n">
        <v>0.9330000000000001</v>
      </c>
      <c r="E14" s="65" t="n">
        <v>10</v>
      </c>
      <c r="F14" s="65" t="n">
        <v>9.699999999999999</v>
      </c>
      <c r="G14" s="66" t="n">
        <v>0.2</v>
      </c>
      <c r="H14" s="66" t="n">
        <v>1.098</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tabColor rgb="00A51818"/>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s>
  <sheetData>
    <row r="1" ht="38" customHeight="1">
      <c r="A1" s="50" t="inlineStr">
        <is>
          <t>operations_signals</t>
        </is>
      </c>
    </row>
    <row r="2" ht="24" customHeight="1">
      <c r="A2" s="17" t="inlineStr">
        <is>
          <t>Operational risk per SKU: refund rates and support cost. [ESTIMATE] fields may need approximation.</t>
        </is>
      </c>
    </row>
    <row r="3" ht="8" customHeight="1"/>
    <row r="4">
      <c r="A4" s="3" t="inlineStr">
        <is>
          <t>sku_id</t>
        </is>
      </c>
      <c r="B4" s="3" t="inlineStr">
        <is>
          <t>order_count</t>
        </is>
      </c>
      <c r="C4" s="3" t="inlineStr">
        <is>
          <t>refund_rate</t>
        </is>
      </c>
      <c r="D4" s="3" t="inlineStr">
        <is>
          <t>support_cost</t>
        </is>
      </c>
    </row>
    <row r="5" ht="20" customHeight="1">
      <c r="A5" s="55" t="inlineStr">
        <is>
          <t>Steam_5.0_US</t>
        </is>
      </c>
      <c r="B5" s="54" t="n">
        <v>123</v>
      </c>
      <c r="C5" s="64" t="n">
        <v>0.021</v>
      </c>
      <c r="D5" s="63" t="n">
        <v>0.13</v>
      </c>
    </row>
    <row r="6" ht="20" customHeight="1">
      <c r="A6" s="61" t="inlineStr">
        <is>
          <t>Google Play_10.0_MENA</t>
        </is>
      </c>
      <c r="B6" s="60" t="n">
        <v>167</v>
      </c>
      <c r="C6" s="66" t="n">
        <v>0.018</v>
      </c>
      <c r="D6" s="65" t="n">
        <v>0.22</v>
      </c>
    </row>
    <row r="7" ht="20" customHeight="1">
      <c r="A7" s="55" t="inlineStr">
        <is>
          <t>iTunes_25.0_EU</t>
        </is>
      </c>
      <c r="B7" s="54" t="n">
        <v>31</v>
      </c>
      <c r="C7" s="64" t="n">
        <v>0.031</v>
      </c>
      <c r="D7" s="63" t="n">
        <v>0.55</v>
      </c>
    </row>
    <row r="8" ht="20" customHeight="1">
      <c r="A8" s="61" t="inlineStr">
        <is>
          <t>Amazon_50.0_US</t>
        </is>
      </c>
      <c r="B8" s="60" t="n">
        <v>113</v>
      </c>
      <c r="C8" s="66" t="n">
        <v>0.012</v>
      </c>
      <c r="D8" s="65" t="n">
        <v>0.8</v>
      </c>
    </row>
    <row r="9" ht="20" customHeight="1">
      <c r="A9" s="55" t="inlineStr">
        <is>
          <t>PlayStation_20.0_MENA</t>
        </is>
      </c>
      <c r="B9" s="54" t="n">
        <v>112</v>
      </c>
      <c r="C9" s="64" t="n">
        <v>0.028</v>
      </c>
      <c r="D9" s="63" t="n">
        <v>0.42</v>
      </c>
    </row>
    <row r="10" ht="20" customHeight="1">
      <c r="A10" s="61" t="inlineStr">
        <is>
          <t>Netflix_15.0_APAC</t>
        </is>
      </c>
      <c r="B10" s="60" t="n">
        <v>167</v>
      </c>
      <c r="C10" s="66" t="n">
        <v>0.015</v>
      </c>
      <c r="D10" s="65" t="n">
        <v>0.18</v>
      </c>
    </row>
    <row r="11" ht="20" customHeight="1">
      <c r="A11" s="55" t="inlineStr">
        <is>
          <t>Roblox_10.0_US</t>
        </is>
      </c>
      <c r="B11" s="54" t="n">
        <v>134</v>
      </c>
      <c r="C11" s="64" t="n">
        <v>0.045</v>
      </c>
      <c r="D11" s="63" t="n">
        <v>0.21</v>
      </c>
    </row>
    <row r="12" ht="20" customHeight="1">
      <c r="A12" s="61" t="inlineStr">
        <is>
          <t>Noon_100.0_MENA</t>
        </is>
      </c>
      <c r="B12" s="60" t="n">
        <v>150</v>
      </c>
      <c r="C12" s="66" t="n">
        <v>0.022</v>
      </c>
      <c r="D12" s="65" t="n">
        <v>1.2</v>
      </c>
    </row>
    <row r="13" ht="20" customHeight="1">
      <c r="A13" s="55" t="inlineStr">
        <is>
          <t>Etisalat_20.0_MENA</t>
        </is>
      </c>
      <c r="B13" s="54" t="n">
        <v>79</v>
      </c>
      <c r="C13" s="64" t="n">
        <v>0.008</v>
      </c>
      <c r="D13" s="63" t="n">
        <v>0.16</v>
      </c>
    </row>
    <row r="14" ht="20" customHeight="1">
      <c r="A14" s="61" t="inlineStr">
        <is>
          <t>Spotify_10.0_EU</t>
        </is>
      </c>
      <c r="B14" s="60" t="n">
        <v>156</v>
      </c>
      <c r="C14" s="66" t="n">
        <v>0.019</v>
      </c>
      <c r="D14" s="65" t="n">
        <v>0.11</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1A3A6B"/>
    <outlinePr summaryBelow="1" summaryRight="1"/>
    <pageSetUpPr/>
  </sheetPr>
  <dimension ref="A1:S1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4" customWidth="1" min="3" max="3"/>
    <col width="12" customWidth="1" min="4" max="4"/>
    <col width="16" customWidth="1" min="5" max="5"/>
    <col width="10" customWidth="1" min="6" max="6"/>
    <col width="10" customWidth="1" min="7" max="7"/>
    <col width="10" customWidth="1" min="8" max="8"/>
    <col width="16" customWidth="1" min="9" max="9"/>
    <col width="12" customWidth="1" min="10" max="10"/>
    <col width="16" customWidth="1" min="11" max="11"/>
    <col width="16" customWidth="1" min="12" max="12"/>
    <col width="14" customWidth="1" min="13" max="13"/>
    <col width="12" customWidth="1" min="14" max="14"/>
    <col width="12" customWidth="1" min="15" max="15"/>
    <col width="12" customWidth="1" min="16" max="16"/>
    <col width="12" customWidth="1" min="17" max="17"/>
    <col width="12" customWidth="1" min="18" max="18"/>
    <col width="22" customWidth="1" min="19" max="19"/>
  </cols>
  <sheetData>
    <row r="1" ht="38" customHeight="1">
      <c r="A1" s="50" t="inlineStr">
        <is>
          <t>pricing_features</t>
        </is>
      </c>
    </row>
    <row r="2" ht="24" customHeight="1">
      <c r="A2" s="17" t="inlineStr">
        <is>
          <t>Core pricing metrics. All key fields joined. Green columns are derived from other columns.</t>
        </is>
      </c>
    </row>
    <row r="3" ht="8" customHeight="1"/>
    <row r="4">
      <c r="A4" s="3" t="inlineStr">
        <is>
          <t>sku_id</t>
        </is>
      </c>
      <c r="B4" s="3" t="inlineStr">
        <is>
          <t>supplier_name</t>
        </is>
      </c>
      <c r="C4" s="3" t="inlineStr">
        <is>
          <t>supplier_cost</t>
        </is>
      </c>
      <c r="D4" s="3" t="inlineStr">
        <is>
          <t>supplier_fee</t>
        </is>
      </c>
      <c r="E4" s="3" t="inlineStr">
        <is>
          <t>reliability_score</t>
        </is>
      </c>
      <c r="F4" s="3" t="inlineStr">
        <is>
          <t>inventory</t>
        </is>
      </c>
      <c r="G4" s="3" t="inlineStr">
        <is>
          <t>units_30d</t>
        </is>
      </c>
      <c r="H4" s="3" t="inlineStr">
        <is>
          <t>units_60d</t>
        </is>
      </c>
      <c r="I4" s="3" t="inlineStr">
        <is>
          <t>demand_trend_30d</t>
        </is>
      </c>
      <c r="J4" s="3" t="inlineStr">
        <is>
          <t>sell_price</t>
        </is>
      </c>
      <c r="K4" s="3" t="inlineStr">
        <is>
          <t>competitor_price</t>
        </is>
      </c>
      <c r="L4" s="3" t="inlineStr">
        <is>
          <t>price_sensitivity</t>
        </is>
      </c>
      <c r="M4" s="3" t="inlineStr">
        <is>
          <t>seasonality_index</t>
        </is>
      </c>
      <c r="N4" s="3" t="inlineStr">
        <is>
          <t>refund_rate</t>
        </is>
      </c>
      <c r="O4" s="3" t="inlineStr">
        <is>
          <t>support_cost</t>
        </is>
      </c>
      <c r="P4" s="53" t="inlineStr">
        <is>
          <t>gross_margin</t>
        </is>
      </c>
      <c r="Q4" s="53" t="inlineStr">
        <is>
          <t>refund_cost</t>
        </is>
      </c>
      <c r="R4" s="53" t="inlineStr">
        <is>
          <t>true_margin</t>
        </is>
      </c>
      <c r="S4" s="53" t="inlineStr">
        <is>
          <t>price_gap_vs_competitor</t>
        </is>
      </c>
    </row>
    <row r="5" ht="20" customHeight="1">
      <c r="A5" s="55" t="inlineStr">
        <is>
          <t>Steam_5.0_US</t>
        </is>
      </c>
      <c r="B5" s="55" t="inlineStr">
        <is>
          <t>Supplier_Atlas</t>
        </is>
      </c>
      <c r="C5" s="63" t="n">
        <v>4.727</v>
      </c>
      <c r="D5" s="63" t="n">
        <v>0.0473</v>
      </c>
      <c r="E5" s="64" t="n">
        <v>0.98</v>
      </c>
      <c r="F5" s="54" t="n">
        <v>1028</v>
      </c>
      <c r="G5" s="54" t="n">
        <v>60</v>
      </c>
      <c r="H5" s="54" t="n">
        <v>65</v>
      </c>
      <c r="I5" s="64" t="n">
        <v>12</v>
      </c>
      <c r="J5" s="63" t="n">
        <v>5</v>
      </c>
      <c r="K5" s="63" t="n">
        <v>4.95</v>
      </c>
      <c r="L5" s="64" t="n">
        <v>0.3</v>
      </c>
      <c r="M5" s="64" t="n">
        <v>1.07</v>
      </c>
      <c r="N5" s="64" t="n">
        <v>0.021</v>
      </c>
      <c r="O5" s="63" t="n">
        <v>0.13</v>
      </c>
      <c r="P5" s="59" t="n">
        <v>0.273</v>
      </c>
      <c r="Q5" s="59" t="n">
        <v>0.105</v>
      </c>
      <c r="R5" s="59" t="n">
        <v>0.038</v>
      </c>
      <c r="S5" s="59" t="n">
        <v>0.05</v>
      </c>
    </row>
    <row r="6" ht="20" customHeight="1">
      <c r="A6" s="61" t="inlineStr">
        <is>
          <t>Google Play_10.0_MENA</t>
        </is>
      </c>
      <c r="B6" s="61" t="inlineStr">
        <is>
          <t>Supplier_Omega</t>
        </is>
      </c>
      <c r="C6" s="65" t="n">
        <v>9.199999999999999</v>
      </c>
      <c r="D6" s="65" t="n">
        <v>0.092</v>
      </c>
      <c r="E6" s="66" t="n">
        <v>0.95</v>
      </c>
      <c r="F6" s="60" t="n">
        <v>540</v>
      </c>
      <c r="G6" s="60" t="n">
        <v>12</v>
      </c>
      <c r="H6" s="60" t="n">
        <v>51</v>
      </c>
      <c r="I6" s="66" t="n">
        <v>0.308</v>
      </c>
      <c r="J6" s="65" t="n">
        <v>10</v>
      </c>
      <c r="K6" s="65" t="n">
        <v>9.800000000000001</v>
      </c>
      <c r="L6" s="66" t="n">
        <v>0.45</v>
      </c>
      <c r="M6" s="66" t="n">
        <v>1.088</v>
      </c>
      <c r="N6" s="66" t="n">
        <v>0.018</v>
      </c>
      <c r="O6" s="65" t="n">
        <v>0.22</v>
      </c>
      <c r="P6" s="59" t="n">
        <v>0.8</v>
      </c>
      <c r="Q6" s="59" t="n">
        <v>0.18</v>
      </c>
      <c r="R6" s="59" t="n">
        <v>0.4</v>
      </c>
      <c r="S6" s="59" t="n">
        <v>0.2</v>
      </c>
    </row>
    <row r="7" ht="20" customHeight="1">
      <c r="A7" s="55" t="inlineStr">
        <is>
          <t>iTunes_25.0_EU</t>
        </is>
      </c>
      <c r="B7" s="55" t="inlineStr">
        <is>
          <t>Supplier_Titan</t>
        </is>
      </c>
      <c r="C7" s="63" t="n">
        <v>22.1</v>
      </c>
      <c r="D7" s="63" t="n">
        <v>0.221</v>
      </c>
      <c r="E7" s="64" t="n">
        <v>0.99</v>
      </c>
      <c r="F7" s="54" t="n">
        <v>320</v>
      </c>
      <c r="G7" s="54" t="n">
        <v>54</v>
      </c>
      <c r="H7" s="54" t="n">
        <v>80</v>
      </c>
      <c r="I7" s="64" t="n">
        <v>2.077</v>
      </c>
      <c r="J7" s="63" t="n">
        <v>25</v>
      </c>
      <c r="K7" s="63" t="n">
        <v>24.5</v>
      </c>
      <c r="L7" s="64" t="n">
        <v>0.2</v>
      </c>
      <c r="M7" s="64" t="n">
        <v>0.928</v>
      </c>
      <c r="N7" s="64" t="n">
        <v>0.031</v>
      </c>
      <c r="O7" s="63" t="n">
        <v>0.55</v>
      </c>
      <c r="P7" s="59" t="n">
        <v>2.9</v>
      </c>
      <c r="Q7" s="59" t="n">
        <v>0.775</v>
      </c>
      <c r="R7" s="59" t="n">
        <v>1.575</v>
      </c>
      <c r="S7" s="59" t="n">
        <v>0.5</v>
      </c>
    </row>
    <row r="8" ht="20" customHeight="1">
      <c r="A8" s="61" t="inlineStr">
        <is>
          <t>Amazon_50.0_US</t>
        </is>
      </c>
      <c r="B8" s="61" t="inlineStr">
        <is>
          <t>Supplier_Nova</t>
        </is>
      </c>
      <c r="C8" s="65" t="n">
        <v>47.5</v>
      </c>
      <c r="D8" s="65" t="n">
        <v>0.475</v>
      </c>
      <c r="E8" s="66" t="n">
        <v>0.97</v>
      </c>
      <c r="F8" s="60" t="n">
        <v>210</v>
      </c>
      <c r="G8" s="60" t="n">
        <v>32</v>
      </c>
      <c r="H8" s="60" t="n">
        <v>47</v>
      </c>
      <c r="I8" s="66" t="n">
        <v>2.133</v>
      </c>
      <c r="J8" s="65" t="n">
        <v>50</v>
      </c>
      <c r="K8" s="65" t="n">
        <v>49.99</v>
      </c>
      <c r="L8" s="66" t="n">
        <v>0.35</v>
      </c>
      <c r="M8" s="66" t="n">
        <v>1.013</v>
      </c>
      <c r="N8" s="66" t="n">
        <v>0.012</v>
      </c>
      <c r="O8" s="65" t="n">
        <v>0.8</v>
      </c>
      <c r="P8" s="59" t="n">
        <v>2.5</v>
      </c>
      <c r="Q8" s="59" t="n">
        <v>0.6</v>
      </c>
      <c r="R8" s="59" t="n">
        <v>1.1</v>
      </c>
      <c r="S8" s="59" t="n">
        <v>0.01</v>
      </c>
    </row>
    <row r="9" ht="20" customHeight="1">
      <c r="A9" s="55" t="inlineStr">
        <is>
          <t>PlayStation_20.0_MENA</t>
        </is>
      </c>
      <c r="B9" s="55" t="inlineStr">
        <is>
          <t>Supplier_Atlas</t>
        </is>
      </c>
      <c r="C9" s="63" t="n">
        <v>17.8</v>
      </c>
      <c r="D9" s="63" t="n">
        <v>0.178</v>
      </c>
      <c r="E9" s="64" t="n">
        <v>0.92</v>
      </c>
      <c r="F9" s="54" t="n">
        <v>185</v>
      </c>
      <c r="G9" s="54" t="n">
        <v>51</v>
      </c>
      <c r="H9" s="54" t="n">
        <v>72</v>
      </c>
      <c r="I9" s="64" t="n">
        <v>2.429</v>
      </c>
      <c r="J9" s="63" t="n">
        <v>20</v>
      </c>
      <c r="K9" s="63" t="n">
        <v>19.5</v>
      </c>
      <c r="L9" s="64" t="n">
        <v>0.55</v>
      </c>
      <c r="M9" s="64" t="n">
        <v>1.143</v>
      </c>
      <c r="N9" s="64" t="n">
        <v>0.028</v>
      </c>
      <c r="O9" s="63" t="n">
        <v>0.42</v>
      </c>
      <c r="P9" s="59" t="n">
        <v>2.2</v>
      </c>
      <c r="Q9" s="59" t="n">
        <v>0.5600000000000001</v>
      </c>
      <c r="R9" s="59" t="n">
        <v>1.22</v>
      </c>
      <c r="S9" s="59" t="n">
        <v>0.5</v>
      </c>
    </row>
    <row r="10" ht="20" customHeight="1">
      <c r="A10" s="61" t="inlineStr">
        <is>
          <t>Netflix_15.0_APAC</t>
        </is>
      </c>
      <c r="B10" s="61" t="inlineStr">
        <is>
          <t>Supplier_Prism</t>
        </is>
      </c>
      <c r="C10" s="65" t="n">
        <v>13.1</v>
      </c>
      <c r="D10" s="65" t="n">
        <v>0.131</v>
      </c>
      <c r="E10" s="66" t="n">
        <v>0.96</v>
      </c>
      <c r="F10" s="60" t="n">
        <v>410</v>
      </c>
      <c r="G10" s="60" t="n">
        <v>53</v>
      </c>
      <c r="H10" s="60" t="n">
        <v>69</v>
      </c>
      <c r="I10" s="66" t="n">
        <v>3.312</v>
      </c>
      <c r="J10" s="65" t="n">
        <v>15</v>
      </c>
      <c r="K10" s="65" t="n">
        <v>14.8</v>
      </c>
      <c r="L10" s="66" t="n">
        <v>0.25</v>
      </c>
      <c r="M10" s="66" t="n">
        <v>1.027</v>
      </c>
      <c r="N10" s="66" t="n">
        <v>0.015</v>
      </c>
      <c r="O10" s="65" t="n">
        <v>0.18</v>
      </c>
      <c r="P10" s="59" t="n">
        <v>1.9</v>
      </c>
      <c r="Q10" s="59" t="n">
        <v>0.225</v>
      </c>
      <c r="R10" s="59" t="n">
        <v>1.495</v>
      </c>
      <c r="S10" s="59" t="n">
        <v>0.2</v>
      </c>
    </row>
    <row r="11" ht="20" customHeight="1">
      <c r="A11" s="55" t="inlineStr">
        <is>
          <t>Roblox_10.0_US</t>
        </is>
      </c>
      <c r="B11" s="55" t="inlineStr">
        <is>
          <t>Supplier_Omega</t>
        </is>
      </c>
      <c r="C11" s="63" t="n">
        <v>8.5</v>
      </c>
      <c r="D11" s="63" t="n">
        <v>0.08500000000000001</v>
      </c>
      <c r="E11" s="64" t="n">
        <v>0.88</v>
      </c>
      <c r="F11" s="54" t="n">
        <v>890</v>
      </c>
      <c r="G11" s="54" t="n">
        <v>11</v>
      </c>
      <c r="H11" s="54" t="n">
        <v>35</v>
      </c>
      <c r="I11" s="64" t="n">
        <v>0.458</v>
      </c>
      <c r="J11" s="63" t="n">
        <v>10</v>
      </c>
      <c r="K11" s="63" t="n">
        <v>9.5</v>
      </c>
      <c r="L11" s="64" t="n">
        <v>0.7</v>
      </c>
      <c r="M11" s="64" t="n">
        <v>1.11</v>
      </c>
      <c r="N11" s="64" t="n">
        <v>0.045</v>
      </c>
      <c r="O11" s="63" t="n">
        <v>0.21</v>
      </c>
      <c r="P11" s="59" t="n">
        <v>1.5</v>
      </c>
      <c r="Q11" s="59" t="n">
        <v>0.45</v>
      </c>
      <c r="R11" s="59" t="n">
        <v>0.84</v>
      </c>
      <c r="S11" s="59" t="n">
        <v>0.5</v>
      </c>
    </row>
    <row r="12" ht="20" customHeight="1">
      <c r="A12" s="61" t="inlineStr">
        <is>
          <t>Noon_100.0_MENA</t>
        </is>
      </c>
      <c r="B12" s="61" t="inlineStr">
        <is>
          <t>Supplier_Atlas</t>
        </is>
      </c>
      <c r="C12" s="65" t="n">
        <v>94</v>
      </c>
      <c r="D12" s="65" t="n">
        <v>0.9399999999999999</v>
      </c>
      <c r="E12" s="66" t="n">
        <v>0.9399999999999999</v>
      </c>
      <c r="F12" s="60" t="n">
        <v>65</v>
      </c>
      <c r="G12" s="60" t="n">
        <v>37</v>
      </c>
      <c r="H12" s="60" t="n">
        <v>54</v>
      </c>
      <c r="I12" s="66" t="n">
        <v>2.176</v>
      </c>
      <c r="J12" s="65" t="n">
        <v>100</v>
      </c>
      <c r="K12" s="65" t="n">
        <v>98</v>
      </c>
      <c r="L12" s="66" t="n">
        <v>0.4</v>
      </c>
      <c r="M12" s="66" t="n">
        <v>0.9379999999999999</v>
      </c>
      <c r="N12" s="66" t="n">
        <v>0.022</v>
      </c>
      <c r="O12" s="65" t="n">
        <v>1.2</v>
      </c>
      <c r="P12" s="59" t="n">
        <v>6</v>
      </c>
      <c r="Q12" s="59" t="n">
        <v>2.2</v>
      </c>
      <c r="R12" s="59" t="n">
        <v>2.6</v>
      </c>
      <c r="S12" s="59" t="n">
        <v>2</v>
      </c>
    </row>
    <row r="13" ht="20" customHeight="1">
      <c r="A13" s="55" t="inlineStr">
        <is>
          <t>Etisalat_20.0_MENA</t>
        </is>
      </c>
      <c r="B13" s="55" t="inlineStr">
        <is>
          <t>Supplier_Nova</t>
        </is>
      </c>
      <c r="C13" s="63" t="n">
        <v>18.2</v>
      </c>
      <c r="D13" s="63" t="n">
        <v>0.182</v>
      </c>
      <c r="E13" s="64" t="n">
        <v>0.99</v>
      </c>
      <c r="F13" s="54" t="n">
        <v>720</v>
      </c>
      <c r="G13" s="54" t="n">
        <v>53</v>
      </c>
      <c r="H13" s="54" t="n">
        <v>68</v>
      </c>
      <c r="I13" s="64" t="n">
        <v>3.533</v>
      </c>
      <c r="J13" s="63" t="n">
        <v>20</v>
      </c>
      <c r="K13" s="63" t="n">
        <v>20.1</v>
      </c>
      <c r="L13" s="64" t="n">
        <v>0.15</v>
      </c>
      <c r="M13" s="64" t="n">
        <v>1.035</v>
      </c>
      <c r="N13" s="64" t="n">
        <v>0.008</v>
      </c>
      <c r="O13" s="63" t="n">
        <v>0.16</v>
      </c>
      <c r="P13" s="59" t="n">
        <v>1.8</v>
      </c>
      <c r="Q13" s="59" t="n">
        <v>0.16</v>
      </c>
      <c r="R13" s="59" t="n">
        <v>1.48</v>
      </c>
      <c r="S13" s="68" t="n">
        <v>-0.1</v>
      </c>
    </row>
    <row r="14" ht="20" customHeight="1">
      <c r="A14" s="61" t="inlineStr">
        <is>
          <t>Spotify_10.0_EU</t>
        </is>
      </c>
      <c r="B14" s="61" t="inlineStr">
        <is>
          <t>Supplier_Titan</t>
        </is>
      </c>
      <c r="C14" s="65" t="n">
        <v>8.800000000000001</v>
      </c>
      <c r="D14" s="65" t="n">
        <v>0.08799999999999999</v>
      </c>
      <c r="E14" s="66" t="n">
        <v>0.97</v>
      </c>
      <c r="F14" s="60" t="n">
        <v>580</v>
      </c>
      <c r="G14" s="60" t="n">
        <v>54</v>
      </c>
      <c r="H14" s="60" t="n">
        <v>92</v>
      </c>
      <c r="I14" s="66" t="n">
        <v>1.421</v>
      </c>
      <c r="J14" s="65" t="n">
        <v>10</v>
      </c>
      <c r="K14" s="65" t="n">
        <v>9.699999999999999</v>
      </c>
      <c r="L14" s="66" t="n">
        <v>0.2</v>
      </c>
      <c r="M14" s="66" t="n">
        <v>1.13</v>
      </c>
      <c r="N14" s="66" t="n">
        <v>0.019</v>
      </c>
      <c r="O14" s="65" t="n">
        <v>0.11</v>
      </c>
      <c r="P14" s="59" t="n">
        <v>1.2</v>
      </c>
      <c r="Q14" s="59" t="n">
        <v>0.19</v>
      </c>
      <c r="R14" s="59" t="n">
        <v>0.9</v>
      </c>
      <c r="S14" s="59" t="n">
        <v>0.3</v>
      </c>
    </row>
  </sheetData>
  <mergeCells count="2">
    <mergeCell ref="A2:S2"/>
    <mergeCell ref="A1:S1"/>
  </mergeCells>
  <pageMargins left="0.75" right="0.75" top="1" bottom="1" header="0.5" footer="0.5"/>
</worksheet>
</file>

<file path=xl/worksheets/sheet11.xml><?xml version="1.0" encoding="utf-8"?>
<worksheet xmlns="http://schemas.openxmlformats.org/spreadsheetml/2006/main">
  <sheetPr>
    <tabColor rgb="001A3A6B"/>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2" customWidth="1" min="3" max="3"/>
    <col width="14" customWidth="1" min="4" max="4"/>
    <col width="16" customWidth="1" min="5" max="5"/>
    <col width="12" customWidth="1" min="6" max="6"/>
    <col width="22" customWidth="1" min="7" max="7"/>
    <col width="16" customWidth="1" min="8" max="8"/>
    <col width="12" customWidth="1" min="9" max="9"/>
    <col width="12" customWidth="1" min="10" max="10"/>
    <col width="16" customWidth="1" min="11" max="11"/>
    <col width="14" customWidth="1" min="12" max="12"/>
    <col width="14" customWidth="1" min="13" max="13"/>
    <col width="16" customWidth="1" min="14" max="14"/>
    <col width="16" customWidth="1" min="15" max="15"/>
    <col width="20" customWidth="1" min="16" max="16"/>
  </cols>
  <sheetData>
    <row r="1" ht="38" customHeight="1">
      <c r="A1" s="50" t="inlineStr">
        <is>
          <t>pricing_simulator</t>
        </is>
      </c>
    </row>
    <row r="2" ht="24" customHeight="1">
      <c r="A2" s="17" t="inlineStr">
        <is>
          <t>What-if simulation engine. Assumes price_change_pct=+5%. Green columns show simulated impact.</t>
        </is>
      </c>
    </row>
    <row r="3" ht="8" customHeight="1"/>
    <row r="4">
      <c r="A4" s="3" t="inlineStr">
        <is>
          <t>sku_id</t>
        </is>
      </c>
      <c r="B4" s="3" t="inlineStr">
        <is>
          <t>supplier_name</t>
        </is>
      </c>
      <c r="C4" s="3" t="inlineStr">
        <is>
          <t>sell_price</t>
        </is>
      </c>
      <c r="D4" s="3" t="inlineStr">
        <is>
          <t>supplier_cost</t>
        </is>
      </c>
      <c r="E4" s="3" t="inlineStr">
        <is>
          <t>competitor_price</t>
        </is>
      </c>
      <c r="F4" s="3" t="inlineStr">
        <is>
          <t>true_margin</t>
        </is>
      </c>
      <c r="G4" s="3" t="inlineStr">
        <is>
          <t>price_gap_vs_competitor</t>
        </is>
      </c>
      <c r="H4" s="3" t="inlineStr">
        <is>
          <t>price_sensitivity</t>
        </is>
      </c>
      <c r="I4" s="3" t="inlineStr">
        <is>
          <t>refund_rate</t>
        </is>
      </c>
      <c r="J4" s="3" t="inlineStr">
        <is>
          <t>support_cost</t>
        </is>
      </c>
      <c r="K4" s="3" t="inlineStr">
        <is>
          <t>price_change_pct</t>
        </is>
      </c>
      <c r="L4" s="53" t="inlineStr">
        <is>
          <t>simulated_price</t>
        </is>
      </c>
      <c r="M4" s="53" t="inlineStr">
        <is>
          <t>demand_drop_pct</t>
        </is>
      </c>
      <c r="N4" s="53" t="inlineStr">
        <is>
          <t>demand_multiplier</t>
        </is>
      </c>
      <c r="O4" s="53" t="inlineStr">
        <is>
          <t>simulated_margin</t>
        </is>
      </c>
      <c r="P4" s="53" t="inlineStr">
        <is>
          <t>simulated_profit_index</t>
        </is>
      </c>
    </row>
    <row r="5" ht="20" customHeight="1">
      <c r="A5" s="55" t="inlineStr">
        <is>
          <t>Steam_5.0_US</t>
        </is>
      </c>
      <c r="B5" s="55" t="inlineStr">
        <is>
          <t>Supplier_Atlas</t>
        </is>
      </c>
      <c r="C5" s="63" t="n">
        <v>5</v>
      </c>
      <c r="D5" s="63" t="n">
        <v>4.727</v>
      </c>
      <c r="E5" s="63" t="n">
        <v>4.95</v>
      </c>
      <c r="F5" s="63" t="n">
        <v>0.038</v>
      </c>
      <c r="G5" s="63" t="n">
        <v>0.05</v>
      </c>
      <c r="H5" s="64" t="n">
        <v>0.3</v>
      </c>
      <c r="I5" s="64" t="n">
        <v>0.021</v>
      </c>
      <c r="J5" s="63" t="n">
        <v>0.13</v>
      </c>
      <c r="K5" s="64" t="n">
        <v>0.05</v>
      </c>
      <c r="L5" s="59" t="n">
        <v>5.25</v>
      </c>
      <c r="M5" s="69" t="n">
        <v>0.015</v>
      </c>
      <c r="N5" s="69" t="n">
        <v>0.985</v>
      </c>
      <c r="O5" s="59" t="n">
        <v>0.288</v>
      </c>
      <c r="P5" s="59" t="n">
        <v>0.2837</v>
      </c>
    </row>
    <row r="6" ht="20" customHeight="1">
      <c r="A6" s="61" t="inlineStr">
        <is>
          <t>Google Play_10.0_MENA</t>
        </is>
      </c>
      <c r="B6" s="61" t="inlineStr">
        <is>
          <t>Supplier_Omega</t>
        </is>
      </c>
      <c r="C6" s="65" t="n">
        <v>10</v>
      </c>
      <c r="D6" s="65" t="n">
        <v>9.199999999999999</v>
      </c>
      <c r="E6" s="65" t="n">
        <v>9.800000000000001</v>
      </c>
      <c r="F6" s="65" t="n">
        <v>0.4</v>
      </c>
      <c r="G6" s="65" t="n">
        <v>0.2</v>
      </c>
      <c r="H6" s="66" t="n">
        <v>0.45</v>
      </c>
      <c r="I6" s="66" t="n">
        <v>0.018</v>
      </c>
      <c r="J6" s="65" t="n">
        <v>0.22</v>
      </c>
      <c r="K6" s="66" t="n">
        <v>0.05</v>
      </c>
      <c r="L6" s="59" t="n">
        <v>10.5</v>
      </c>
      <c r="M6" s="69" t="n">
        <v>0.0225</v>
      </c>
      <c r="N6" s="69" t="n">
        <v>0.9775</v>
      </c>
      <c r="O6" s="59" t="n">
        <v>0.9</v>
      </c>
      <c r="P6" s="59" t="n">
        <v>0.8798</v>
      </c>
    </row>
    <row r="7" ht="20" customHeight="1">
      <c r="A7" s="55" t="inlineStr">
        <is>
          <t>iTunes_25.0_EU</t>
        </is>
      </c>
      <c r="B7" s="55" t="inlineStr">
        <is>
          <t>Supplier_Titan</t>
        </is>
      </c>
      <c r="C7" s="63" t="n">
        <v>25</v>
      </c>
      <c r="D7" s="63" t="n">
        <v>22.1</v>
      </c>
      <c r="E7" s="63" t="n">
        <v>24.5</v>
      </c>
      <c r="F7" s="63" t="n">
        <v>1.575</v>
      </c>
      <c r="G7" s="63" t="n">
        <v>0.5</v>
      </c>
      <c r="H7" s="64" t="n">
        <v>0.2</v>
      </c>
      <c r="I7" s="64" t="n">
        <v>0.031</v>
      </c>
      <c r="J7" s="63" t="n">
        <v>0.55</v>
      </c>
      <c r="K7" s="64" t="n">
        <v>0.05</v>
      </c>
      <c r="L7" s="59" t="n">
        <v>26.25</v>
      </c>
      <c r="M7" s="69" t="n">
        <v>0.01</v>
      </c>
      <c r="N7" s="69" t="n">
        <v>0.99</v>
      </c>
      <c r="O7" s="59" t="n">
        <v>2.825</v>
      </c>
      <c r="P7" s="59" t="n">
        <v>2.7968</v>
      </c>
    </row>
    <row r="8" ht="20" customHeight="1">
      <c r="A8" s="61" t="inlineStr">
        <is>
          <t>Amazon_50.0_US</t>
        </is>
      </c>
      <c r="B8" s="61" t="inlineStr">
        <is>
          <t>Supplier_Nova</t>
        </is>
      </c>
      <c r="C8" s="65" t="n">
        <v>50</v>
      </c>
      <c r="D8" s="65" t="n">
        <v>47.5</v>
      </c>
      <c r="E8" s="65" t="n">
        <v>49.99</v>
      </c>
      <c r="F8" s="65" t="n">
        <v>1.1</v>
      </c>
      <c r="G8" s="65" t="n">
        <v>0.01</v>
      </c>
      <c r="H8" s="66" t="n">
        <v>0.35</v>
      </c>
      <c r="I8" s="66" t="n">
        <v>0.012</v>
      </c>
      <c r="J8" s="65" t="n">
        <v>0.8</v>
      </c>
      <c r="K8" s="66" t="n">
        <v>0.05</v>
      </c>
      <c r="L8" s="59" t="n">
        <v>52.5</v>
      </c>
      <c r="M8" s="69" t="n">
        <v>0.0175</v>
      </c>
      <c r="N8" s="69" t="n">
        <v>0.9825</v>
      </c>
      <c r="O8" s="59" t="n">
        <v>3.6</v>
      </c>
      <c r="P8" s="59" t="n">
        <v>3.537</v>
      </c>
    </row>
    <row r="9" ht="20" customHeight="1">
      <c r="A9" s="55" t="inlineStr">
        <is>
          <t>PlayStation_20.0_MENA</t>
        </is>
      </c>
      <c r="B9" s="55" t="inlineStr">
        <is>
          <t>Supplier_Atlas</t>
        </is>
      </c>
      <c r="C9" s="63" t="n">
        <v>20</v>
      </c>
      <c r="D9" s="63" t="n">
        <v>17.8</v>
      </c>
      <c r="E9" s="63" t="n">
        <v>19.5</v>
      </c>
      <c r="F9" s="63" t="n">
        <v>1.22</v>
      </c>
      <c r="G9" s="63" t="n">
        <v>0.5</v>
      </c>
      <c r="H9" s="64" t="n">
        <v>0.55</v>
      </c>
      <c r="I9" s="64" t="n">
        <v>0.028</v>
      </c>
      <c r="J9" s="63" t="n">
        <v>0.42</v>
      </c>
      <c r="K9" s="64" t="n">
        <v>0.05</v>
      </c>
      <c r="L9" s="59" t="n">
        <v>21</v>
      </c>
      <c r="M9" s="69" t="n">
        <v>0.0275</v>
      </c>
      <c r="N9" s="69" t="n">
        <v>0.9725</v>
      </c>
      <c r="O9" s="59" t="n">
        <v>2.22</v>
      </c>
      <c r="P9" s="59" t="n">
        <v>2.159</v>
      </c>
    </row>
    <row r="10" ht="20" customHeight="1">
      <c r="A10" s="61" t="inlineStr">
        <is>
          <t>Netflix_15.0_APAC</t>
        </is>
      </c>
      <c r="B10" s="61" t="inlineStr">
        <is>
          <t>Supplier_Prism</t>
        </is>
      </c>
      <c r="C10" s="65" t="n">
        <v>15</v>
      </c>
      <c r="D10" s="65" t="n">
        <v>13.1</v>
      </c>
      <c r="E10" s="65" t="n">
        <v>14.8</v>
      </c>
      <c r="F10" s="65" t="n">
        <v>1.495</v>
      </c>
      <c r="G10" s="65" t="n">
        <v>0.2</v>
      </c>
      <c r="H10" s="66" t="n">
        <v>0.25</v>
      </c>
      <c r="I10" s="66" t="n">
        <v>0.015</v>
      </c>
      <c r="J10" s="65" t="n">
        <v>0.18</v>
      </c>
      <c r="K10" s="66" t="n">
        <v>0.05</v>
      </c>
      <c r="L10" s="59" t="n">
        <v>15.75</v>
      </c>
      <c r="M10" s="69" t="n">
        <v>0.0125</v>
      </c>
      <c r="N10" s="69" t="n">
        <v>0.9875</v>
      </c>
      <c r="O10" s="59" t="n">
        <v>2.245</v>
      </c>
      <c r="P10" s="59" t="n">
        <v>2.2169</v>
      </c>
    </row>
    <row r="11" ht="20" customHeight="1">
      <c r="A11" s="55" t="inlineStr">
        <is>
          <t>Roblox_10.0_US</t>
        </is>
      </c>
      <c r="B11" s="55" t="inlineStr">
        <is>
          <t>Supplier_Omega</t>
        </is>
      </c>
      <c r="C11" s="63" t="n">
        <v>10</v>
      </c>
      <c r="D11" s="63" t="n">
        <v>8.5</v>
      </c>
      <c r="E11" s="63" t="n">
        <v>9.5</v>
      </c>
      <c r="F11" s="63" t="n">
        <v>0.84</v>
      </c>
      <c r="G11" s="63" t="n">
        <v>0.5</v>
      </c>
      <c r="H11" s="64" t="n">
        <v>0.7</v>
      </c>
      <c r="I11" s="64" t="n">
        <v>0.045</v>
      </c>
      <c r="J11" s="63" t="n">
        <v>0.21</v>
      </c>
      <c r="K11" s="64" t="n">
        <v>0.05</v>
      </c>
      <c r="L11" s="59" t="n">
        <v>10.5</v>
      </c>
      <c r="M11" s="69" t="n">
        <v>0.035</v>
      </c>
      <c r="N11" s="69" t="n">
        <v>0.965</v>
      </c>
      <c r="O11" s="59" t="n">
        <v>1.34</v>
      </c>
      <c r="P11" s="59" t="n">
        <v>1.2931</v>
      </c>
    </row>
    <row r="12" ht="20" customHeight="1">
      <c r="A12" s="61" t="inlineStr">
        <is>
          <t>Noon_100.0_MENA</t>
        </is>
      </c>
      <c r="B12" s="61" t="inlineStr">
        <is>
          <t>Supplier_Atlas</t>
        </is>
      </c>
      <c r="C12" s="65" t="n">
        <v>100</v>
      </c>
      <c r="D12" s="65" t="n">
        <v>94</v>
      </c>
      <c r="E12" s="65" t="n">
        <v>98</v>
      </c>
      <c r="F12" s="65" t="n">
        <v>2.6</v>
      </c>
      <c r="G12" s="65" t="n">
        <v>2</v>
      </c>
      <c r="H12" s="66" t="n">
        <v>0.4</v>
      </c>
      <c r="I12" s="66" t="n">
        <v>0.022</v>
      </c>
      <c r="J12" s="65" t="n">
        <v>1.2</v>
      </c>
      <c r="K12" s="66" t="n">
        <v>0.05</v>
      </c>
      <c r="L12" s="59" t="n">
        <v>105</v>
      </c>
      <c r="M12" s="69" t="n">
        <v>0.02</v>
      </c>
      <c r="N12" s="69" t="n">
        <v>0.98</v>
      </c>
      <c r="O12" s="59" t="n">
        <v>7.6</v>
      </c>
      <c r="P12" s="59" t="n">
        <v>7.448</v>
      </c>
    </row>
    <row r="13" ht="20" customHeight="1">
      <c r="A13" s="55" t="inlineStr">
        <is>
          <t>Etisalat_20.0_MENA</t>
        </is>
      </c>
      <c r="B13" s="55" t="inlineStr">
        <is>
          <t>Supplier_Nova</t>
        </is>
      </c>
      <c r="C13" s="63" t="n">
        <v>20</v>
      </c>
      <c r="D13" s="63" t="n">
        <v>18.2</v>
      </c>
      <c r="E13" s="63" t="n">
        <v>20.1</v>
      </c>
      <c r="F13" s="63" t="n">
        <v>1.48</v>
      </c>
      <c r="G13" s="63" t="n">
        <v>-0.1</v>
      </c>
      <c r="H13" s="64" t="n">
        <v>0.15</v>
      </c>
      <c r="I13" s="64" t="n">
        <v>0.008</v>
      </c>
      <c r="J13" s="63" t="n">
        <v>0.16</v>
      </c>
      <c r="K13" s="64" t="n">
        <v>0.05</v>
      </c>
      <c r="L13" s="59" t="n">
        <v>21</v>
      </c>
      <c r="M13" s="69" t="n">
        <v>0.0075</v>
      </c>
      <c r="N13" s="69" t="n">
        <v>0.9925</v>
      </c>
      <c r="O13" s="59" t="n">
        <v>2.48</v>
      </c>
      <c r="P13" s="59" t="n">
        <v>2.4614</v>
      </c>
    </row>
    <row r="14" ht="20" customHeight="1">
      <c r="A14" s="61" t="inlineStr">
        <is>
          <t>Spotify_10.0_EU</t>
        </is>
      </c>
      <c r="B14" s="61" t="inlineStr">
        <is>
          <t>Supplier_Titan</t>
        </is>
      </c>
      <c r="C14" s="65" t="n">
        <v>10</v>
      </c>
      <c r="D14" s="65" t="n">
        <v>8.800000000000001</v>
      </c>
      <c r="E14" s="65" t="n">
        <v>9.699999999999999</v>
      </c>
      <c r="F14" s="65" t="n">
        <v>0.9</v>
      </c>
      <c r="G14" s="65" t="n">
        <v>0.3</v>
      </c>
      <c r="H14" s="66" t="n">
        <v>0.2</v>
      </c>
      <c r="I14" s="66" t="n">
        <v>0.019</v>
      </c>
      <c r="J14" s="65" t="n">
        <v>0.11</v>
      </c>
      <c r="K14" s="66" t="n">
        <v>0.05</v>
      </c>
      <c r="L14" s="59" t="n">
        <v>10.5</v>
      </c>
      <c r="M14" s="69" t="n">
        <v>0.01</v>
      </c>
      <c r="N14" s="69" t="n">
        <v>0.99</v>
      </c>
      <c r="O14" s="59" t="n">
        <v>1.4</v>
      </c>
      <c r="P14" s="59" t="n">
        <v>1.386</v>
      </c>
    </row>
  </sheetData>
  <mergeCells count="2">
    <mergeCell ref="A1:P1"/>
    <mergeCell ref="A2:P2"/>
  </mergeCells>
  <pageMargins left="0.75" right="0.75" top="1" bottom="1" header="0.5" footer="0.5"/>
</worksheet>
</file>

<file path=xl/worksheets/sheet12.xml><?xml version="1.0" encoding="utf-8"?>
<worksheet xmlns="http://schemas.openxmlformats.org/spreadsheetml/2006/main">
  <sheetPr>
    <tabColor rgb="001A5C3A"/>
    <outlinePr summaryBelow="1" summaryRight="1"/>
    <pageSetUpPr/>
  </sheetPr>
  <dimension ref="A1:K15"/>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12" customWidth="1" min="3" max="3"/>
    <col width="14" customWidth="1" min="4" max="4"/>
    <col width="16" customWidth="1" min="5" max="5"/>
    <col width="12" customWidth="1" min="6" max="6"/>
    <col width="22" customWidth="1" min="7" max="7"/>
    <col width="16" customWidth="1" min="8" max="8"/>
    <col width="16" customWidth="1" min="9" max="9"/>
    <col width="14" customWidth="1" min="10" max="10"/>
    <col width="20" customWidth="1" min="11" max="11"/>
  </cols>
  <sheetData>
    <row r="1" ht="38" customHeight="1">
      <c r="A1" s="50" t="inlineStr">
        <is>
          <t>ai_query_view</t>
        </is>
      </c>
    </row>
    <row r="2" ht="24" customHeight="1">
      <c r="A2" s="17" t="inlineStr">
        <is>
          <t>★ PRIMARY AI INPUT TABLE — All key pricing fields in one view. This is what PriceIQ uses for analysis.</t>
        </is>
      </c>
    </row>
    <row r="3" ht="8" customHeight="1"/>
    <row r="4" ht="22" customHeight="1">
      <c r="A4" s="70" t="inlineStr">
        <is>
          <t>★ This is the primary AI analysis table. PriceIQ will use this sheet first. Keep it up to date.</t>
        </is>
      </c>
    </row>
    <row r="5" ht="20" customHeight="1">
      <c r="A5" s="3" t="inlineStr">
        <is>
          <t>sku_id</t>
        </is>
      </c>
      <c r="B5" s="3" t="inlineStr">
        <is>
          <t>supplier_name</t>
        </is>
      </c>
      <c r="C5" s="3" t="inlineStr">
        <is>
          <t>sell_price</t>
        </is>
      </c>
      <c r="D5" s="3" t="inlineStr">
        <is>
          <t>supplier_cost</t>
        </is>
      </c>
      <c r="E5" s="3" t="inlineStr">
        <is>
          <t>competitor_price</t>
        </is>
      </c>
      <c r="F5" s="53" t="inlineStr">
        <is>
          <t>true_margin</t>
        </is>
      </c>
      <c r="G5" s="53" t="inlineStr">
        <is>
          <t>price_gap_vs_competitor</t>
        </is>
      </c>
      <c r="H5" s="3" t="inlineStr">
        <is>
          <t>price_sensitivity</t>
        </is>
      </c>
      <c r="I5" s="3" t="inlineStr">
        <is>
          <t>price_change_pct</t>
        </is>
      </c>
      <c r="J5" s="53" t="inlineStr">
        <is>
          <t>demand_drop_pct</t>
        </is>
      </c>
      <c r="K5" s="53" t="inlineStr">
        <is>
          <t>simulated_profit_index</t>
        </is>
      </c>
    </row>
    <row r="6" ht="20" customHeight="1">
      <c r="A6" s="55" t="inlineStr">
        <is>
          <t>Steam_5.0_US</t>
        </is>
      </c>
      <c r="B6" s="55" t="inlineStr">
        <is>
          <t>Supplier_Atlas</t>
        </is>
      </c>
      <c r="C6" s="63" t="n">
        <v>5</v>
      </c>
      <c r="D6" s="63" t="n">
        <v>4.727</v>
      </c>
      <c r="E6" s="63" t="n">
        <v>4.95</v>
      </c>
      <c r="F6" s="59" t="n">
        <v>0.038</v>
      </c>
      <c r="G6" s="59" t="n">
        <v>0.05</v>
      </c>
      <c r="H6" s="64" t="n">
        <v>0.3</v>
      </c>
      <c r="I6" s="64" t="n">
        <v>0.05</v>
      </c>
      <c r="J6" s="69" t="n">
        <v>0.015</v>
      </c>
      <c r="K6" s="59" t="n">
        <v>0.2837</v>
      </c>
    </row>
    <row r="7" ht="20" customHeight="1">
      <c r="A7" s="61" t="inlineStr">
        <is>
          <t>Google Play_10.0_MENA</t>
        </is>
      </c>
      <c r="B7" s="61" t="inlineStr">
        <is>
          <t>Supplier_Omega</t>
        </is>
      </c>
      <c r="C7" s="65" t="n">
        <v>10</v>
      </c>
      <c r="D7" s="65" t="n">
        <v>9.199999999999999</v>
      </c>
      <c r="E7" s="65" t="n">
        <v>9.800000000000001</v>
      </c>
      <c r="F7" s="59" t="n">
        <v>0.4</v>
      </c>
      <c r="G7" s="59" t="n">
        <v>0.2</v>
      </c>
      <c r="H7" s="66" t="n">
        <v>0.45</v>
      </c>
      <c r="I7" s="66" t="n">
        <v>0.05</v>
      </c>
      <c r="J7" s="69" t="n">
        <v>0.0225</v>
      </c>
      <c r="K7" s="59" t="n">
        <v>0.8798</v>
      </c>
    </row>
    <row r="8" ht="20" customHeight="1">
      <c r="A8" s="55" t="inlineStr">
        <is>
          <t>iTunes_25.0_EU</t>
        </is>
      </c>
      <c r="B8" s="55" t="inlineStr">
        <is>
          <t>Supplier_Titan</t>
        </is>
      </c>
      <c r="C8" s="63" t="n">
        <v>25</v>
      </c>
      <c r="D8" s="63" t="n">
        <v>22.1</v>
      </c>
      <c r="E8" s="63" t="n">
        <v>24.5</v>
      </c>
      <c r="F8" s="59" t="n">
        <v>1.575</v>
      </c>
      <c r="G8" s="59" t="n">
        <v>0.5</v>
      </c>
      <c r="H8" s="64" t="n">
        <v>0.2</v>
      </c>
      <c r="I8" s="64" t="n">
        <v>0.05</v>
      </c>
      <c r="J8" s="69" t="n">
        <v>0.01</v>
      </c>
      <c r="K8" s="59" t="n">
        <v>2.7968</v>
      </c>
    </row>
    <row r="9" ht="20" customHeight="1">
      <c r="A9" s="61" t="inlineStr">
        <is>
          <t>Amazon_50.0_US</t>
        </is>
      </c>
      <c r="B9" s="61" t="inlineStr">
        <is>
          <t>Supplier_Nova</t>
        </is>
      </c>
      <c r="C9" s="65" t="n">
        <v>50</v>
      </c>
      <c r="D9" s="65" t="n">
        <v>47.5</v>
      </c>
      <c r="E9" s="65" t="n">
        <v>49.99</v>
      </c>
      <c r="F9" s="59" t="n">
        <v>1.1</v>
      </c>
      <c r="G9" s="59" t="n">
        <v>0.01</v>
      </c>
      <c r="H9" s="66" t="n">
        <v>0.35</v>
      </c>
      <c r="I9" s="66" t="n">
        <v>0.05</v>
      </c>
      <c r="J9" s="69" t="n">
        <v>0.0175</v>
      </c>
      <c r="K9" s="59" t="n">
        <v>3.537</v>
      </c>
    </row>
    <row r="10" ht="20" customHeight="1">
      <c r="A10" s="55" t="inlineStr">
        <is>
          <t>PlayStation_20.0_MENA</t>
        </is>
      </c>
      <c r="B10" s="55" t="inlineStr">
        <is>
          <t>Supplier_Atlas</t>
        </is>
      </c>
      <c r="C10" s="63" t="n">
        <v>20</v>
      </c>
      <c r="D10" s="63" t="n">
        <v>17.8</v>
      </c>
      <c r="E10" s="63" t="n">
        <v>19.5</v>
      </c>
      <c r="F10" s="59" t="n">
        <v>1.22</v>
      </c>
      <c r="G10" s="59" t="n">
        <v>0.5</v>
      </c>
      <c r="H10" s="64" t="n">
        <v>0.55</v>
      </c>
      <c r="I10" s="64" t="n">
        <v>0.05</v>
      </c>
      <c r="J10" s="69" t="n">
        <v>0.0275</v>
      </c>
      <c r="K10" s="59" t="n">
        <v>2.159</v>
      </c>
    </row>
    <row r="11" ht="20" customHeight="1">
      <c r="A11" s="61" t="inlineStr">
        <is>
          <t>Netflix_15.0_APAC</t>
        </is>
      </c>
      <c r="B11" s="61" t="inlineStr">
        <is>
          <t>Supplier_Prism</t>
        </is>
      </c>
      <c r="C11" s="65" t="n">
        <v>15</v>
      </c>
      <c r="D11" s="65" t="n">
        <v>13.1</v>
      </c>
      <c r="E11" s="65" t="n">
        <v>14.8</v>
      </c>
      <c r="F11" s="59" t="n">
        <v>1.495</v>
      </c>
      <c r="G11" s="59" t="n">
        <v>0.2</v>
      </c>
      <c r="H11" s="66" t="n">
        <v>0.25</v>
      </c>
      <c r="I11" s="66" t="n">
        <v>0.05</v>
      </c>
      <c r="J11" s="69" t="n">
        <v>0.0125</v>
      </c>
      <c r="K11" s="59" t="n">
        <v>2.2169</v>
      </c>
    </row>
    <row r="12" ht="20" customHeight="1">
      <c r="A12" s="55" t="inlineStr">
        <is>
          <t>Roblox_10.0_US</t>
        </is>
      </c>
      <c r="B12" s="55" t="inlineStr">
        <is>
          <t>Supplier_Omega</t>
        </is>
      </c>
      <c r="C12" s="63" t="n">
        <v>10</v>
      </c>
      <c r="D12" s="63" t="n">
        <v>8.5</v>
      </c>
      <c r="E12" s="63" t="n">
        <v>9.5</v>
      </c>
      <c r="F12" s="59" t="n">
        <v>0.84</v>
      </c>
      <c r="G12" s="59" t="n">
        <v>0.5</v>
      </c>
      <c r="H12" s="64" t="n">
        <v>0.7</v>
      </c>
      <c r="I12" s="64" t="n">
        <v>0.05</v>
      </c>
      <c r="J12" s="69" t="n">
        <v>0.035</v>
      </c>
      <c r="K12" s="59" t="n">
        <v>1.2931</v>
      </c>
    </row>
    <row r="13" ht="20" customHeight="1">
      <c r="A13" s="61" t="inlineStr">
        <is>
          <t>Noon_100.0_MENA</t>
        </is>
      </c>
      <c r="B13" s="61" t="inlineStr">
        <is>
          <t>Supplier_Atlas</t>
        </is>
      </c>
      <c r="C13" s="65" t="n">
        <v>100</v>
      </c>
      <c r="D13" s="65" t="n">
        <v>94</v>
      </c>
      <c r="E13" s="65" t="n">
        <v>98</v>
      </c>
      <c r="F13" s="59" t="n">
        <v>2.6</v>
      </c>
      <c r="G13" s="59" t="n">
        <v>2</v>
      </c>
      <c r="H13" s="66" t="n">
        <v>0.4</v>
      </c>
      <c r="I13" s="66" t="n">
        <v>0.05</v>
      </c>
      <c r="J13" s="69" t="n">
        <v>0.02</v>
      </c>
      <c r="K13" s="59" t="n">
        <v>7.448</v>
      </c>
    </row>
    <row r="14" ht="20" customHeight="1">
      <c r="A14" s="55" t="inlineStr">
        <is>
          <t>Etisalat_20.0_MENA</t>
        </is>
      </c>
      <c r="B14" s="55" t="inlineStr">
        <is>
          <t>Supplier_Nova</t>
        </is>
      </c>
      <c r="C14" s="63" t="n">
        <v>20</v>
      </c>
      <c r="D14" s="63" t="n">
        <v>18.2</v>
      </c>
      <c r="E14" s="63" t="n">
        <v>20.1</v>
      </c>
      <c r="F14" s="59" t="n">
        <v>1.48</v>
      </c>
      <c r="G14" s="68" t="n">
        <v>-0.1</v>
      </c>
      <c r="H14" s="64" t="n">
        <v>0.15</v>
      </c>
      <c r="I14" s="64" t="n">
        <v>0.05</v>
      </c>
      <c r="J14" s="69" t="n">
        <v>0.0075</v>
      </c>
      <c r="K14" s="59" t="n">
        <v>2.4614</v>
      </c>
    </row>
    <row r="15">
      <c r="A15" s="61" t="inlineStr">
        <is>
          <t>Spotify_10.0_EU</t>
        </is>
      </c>
      <c r="B15" s="61" t="inlineStr">
        <is>
          <t>Supplier_Titan</t>
        </is>
      </c>
      <c r="C15" s="65" t="n">
        <v>10</v>
      </c>
      <c r="D15" s="65" t="n">
        <v>8.800000000000001</v>
      </c>
      <c r="E15" s="65" t="n">
        <v>9.699999999999999</v>
      </c>
      <c r="F15" s="59" t="n">
        <v>0.9</v>
      </c>
      <c r="G15" s="59" t="n">
        <v>0.3</v>
      </c>
      <c r="H15" s="66" t="n">
        <v>0.2</v>
      </c>
      <c r="I15" s="66" t="n">
        <v>0.05</v>
      </c>
      <c r="J15" s="69" t="n">
        <v>0.01</v>
      </c>
      <c r="K15" s="59" t="n">
        <v>1.386</v>
      </c>
    </row>
  </sheetData>
  <mergeCells count="3">
    <mergeCell ref="A2:K2"/>
    <mergeCell ref="A1:K1"/>
    <mergeCell ref="A4:K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2026-03-08T20:25:49Z</dcterms:created>
  <dcterms:modified xmlns:dcterms="http://purl.org/dc/terms/" xmlns:xsi="http://www.w3.org/2001/XMLSchema-instance" xsi:type="dcterms:W3CDTF">2026-03-08T20:25:49Z</dcterms:modified>
</cp:coreProperties>
</file>